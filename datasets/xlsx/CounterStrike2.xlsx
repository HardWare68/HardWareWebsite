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avery\OneDrive\Desktop\Programming SHit\HardWareWebsite\datasets\xlsx\"/>
    </mc:Choice>
  </mc:AlternateContent>
  <xr:revisionPtr revIDLastSave="0" documentId="13_ncr:1_{EEE3824F-4383-426B-8469-FB2678D4A530}" xr6:coauthVersionLast="47" xr6:coauthVersionMax="47" xr10:uidLastSave="{00000000-0000-0000-0000-000000000000}"/>
  <bookViews>
    <workbookView xWindow="-24120" yWindow="-12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56" i="1" l="1"/>
  <c r="AD1156" i="1"/>
  <c r="AE1156" i="1"/>
  <c r="AC1155" i="1"/>
  <c r="AD1155" i="1"/>
  <c r="AE1155" i="1"/>
  <c r="AC1154" i="1"/>
  <c r="AD1154" i="1"/>
  <c r="AE1154" i="1"/>
  <c r="AC1153" i="1"/>
  <c r="AD1153" i="1"/>
  <c r="AE1153" i="1"/>
  <c r="AC1152" i="1"/>
  <c r="AD1152" i="1"/>
  <c r="AE1152" i="1"/>
  <c r="AC1151" i="1"/>
  <c r="AD1151" i="1"/>
  <c r="AE1151" i="1"/>
  <c r="AD1150" i="1"/>
  <c r="AE1150" i="1"/>
  <c r="AC1149" i="1"/>
  <c r="AC1150" i="1" s="1"/>
  <c r="AD1149" i="1"/>
  <c r="AE1149" i="1"/>
  <c r="AC1148" i="1"/>
  <c r="AD1148" i="1"/>
  <c r="AE1148" i="1"/>
  <c r="AC1147" i="1"/>
  <c r="AD1147" i="1"/>
  <c r="AE1147" i="1"/>
  <c r="AC1146" i="1"/>
  <c r="AD1146" i="1"/>
  <c r="AE1146" i="1"/>
  <c r="AC1145" i="1"/>
  <c r="AD1145" i="1"/>
  <c r="AE1145" i="1"/>
  <c r="AC1144" i="1"/>
  <c r="AD1144" i="1"/>
  <c r="AE1144" i="1"/>
  <c r="AC1143" i="1"/>
  <c r="AD1143" i="1"/>
  <c r="AE1143" i="1"/>
  <c r="AC1142" i="1"/>
  <c r="AD1142" i="1"/>
  <c r="AE1142" i="1"/>
  <c r="AC1141" i="1"/>
  <c r="AD1141" i="1"/>
  <c r="AE1141" i="1"/>
  <c r="AC1140" i="1"/>
  <c r="AD1140" i="1"/>
  <c r="AE1140" i="1"/>
  <c r="AC1139" i="1"/>
  <c r="AD1139" i="1"/>
  <c r="AE1139" i="1"/>
  <c r="AC1138" i="1"/>
  <c r="AD1138" i="1"/>
  <c r="AE1138" i="1"/>
  <c r="AC1137" i="1"/>
  <c r="AD1137" i="1"/>
  <c r="AE1137" i="1"/>
  <c r="AC1136" i="1"/>
  <c r="AD1136" i="1"/>
  <c r="AE1136" i="1"/>
  <c r="AC1135" i="1"/>
  <c r="AD1135" i="1"/>
  <c r="AE1135" i="1"/>
  <c r="AC1134" i="1"/>
  <c r="AD1134" i="1"/>
  <c r="AE1134" i="1"/>
  <c r="AC1133" i="1"/>
  <c r="AD1133" i="1"/>
  <c r="AE1133" i="1"/>
  <c r="AC1132" i="1"/>
  <c r="AD1132" i="1"/>
  <c r="AE1132" i="1"/>
  <c r="AC1131" i="1"/>
  <c r="AD1131" i="1"/>
  <c r="AE1131" i="1"/>
  <c r="AC1130" i="1"/>
  <c r="AD1130" i="1"/>
  <c r="AE1130" i="1"/>
  <c r="AC1129" i="1"/>
  <c r="AD1129" i="1"/>
  <c r="AE1129" i="1"/>
  <c r="AC1128" i="1"/>
  <c r="AD1128" i="1"/>
  <c r="AE1128" i="1"/>
  <c r="AC1127" i="1"/>
  <c r="AD1127" i="1"/>
  <c r="AE1127" i="1"/>
  <c r="AC1126" i="1"/>
  <c r="AD1126" i="1"/>
  <c r="AE1126" i="1"/>
  <c r="AC1125" i="1"/>
  <c r="AD1125" i="1"/>
  <c r="AE1125" i="1"/>
  <c r="AC1124" i="1"/>
  <c r="AD1124" i="1"/>
  <c r="AE1124" i="1"/>
  <c r="AC1123" i="1"/>
  <c r="AD1123" i="1"/>
  <c r="AE1123" i="1"/>
  <c r="AC1122" i="1"/>
  <c r="AD1122" i="1"/>
  <c r="AE1122" i="1"/>
  <c r="AC1121" i="1"/>
  <c r="AD1121" i="1"/>
  <c r="AE1121" i="1"/>
  <c r="AC1120" i="1"/>
  <c r="AD1120" i="1"/>
  <c r="AE1120" i="1"/>
  <c r="AC1119" i="1"/>
  <c r="AD1119" i="1"/>
  <c r="AE1119" i="1"/>
  <c r="AC1118" i="1"/>
  <c r="AD1118" i="1"/>
  <c r="AE1118" i="1"/>
  <c r="AC1117" i="1"/>
  <c r="AD1117" i="1"/>
  <c r="AE1117" i="1"/>
  <c r="AC1116" i="1"/>
  <c r="AD1116" i="1"/>
  <c r="AE1116" i="1"/>
  <c r="AC1115" i="1"/>
  <c r="AD1115" i="1"/>
  <c r="AE1115" i="1"/>
  <c r="AC1114" i="1"/>
  <c r="AD1114" i="1"/>
  <c r="AE1114" i="1"/>
  <c r="AC1113" i="1"/>
  <c r="AD1113" i="1"/>
  <c r="AE1113" i="1"/>
  <c r="AC1112" i="1"/>
  <c r="AD1112" i="1"/>
  <c r="AE1112" i="1"/>
  <c r="AD1107" i="1"/>
  <c r="AD1108" i="1"/>
  <c r="AD1109" i="1"/>
  <c r="AD1110" i="1"/>
  <c r="AD1111" i="1"/>
  <c r="AE1107" i="1"/>
  <c r="AE1108" i="1"/>
  <c r="AE1109" i="1"/>
  <c r="AE1110" i="1"/>
  <c r="AE1111" i="1"/>
  <c r="AC1107" i="1"/>
  <c r="AC1108" i="1"/>
  <c r="AC1109" i="1" s="1"/>
  <c r="AC1110" i="1" s="1"/>
  <c r="AC1111" i="1" s="1"/>
  <c r="AC1106" i="1"/>
  <c r="AD1106" i="1"/>
  <c r="AE1106" i="1"/>
  <c r="AC1105" i="1"/>
  <c r="AD1105" i="1"/>
  <c r="AE1105" i="1"/>
  <c r="AC1104" i="1"/>
  <c r="AD1104" i="1"/>
  <c r="AE1104" i="1"/>
  <c r="AC1103" i="1"/>
  <c r="AD1103" i="1"/>
  <c r="AE1103" i="1"/>
  <c r="AC1102" i="1"/>
  <c r="AD1102" i="1"/>
  <c r="AE1102" i="1"/>
  <c r="AC1101" i="1"/>
  <c r="AD1101" i="1"/>
  <c r="AE1101" i="1"/>
  <c r="AC1100" i="1"/>
  <c r="AD1100" i="1"/>
  <c r="AE1100" i="1"/>
  <c r="AC1099" i="1"/>
  <c r="AD1099" i="1"/>
  <c r="AE1099" i="1"/>
  <c r="AC1098" i="1"/>
  <c r="AD1098" i="1"/>
  <c r="AE1098" i="1"/>
  <c r="AC1097" i="1"/>
  <c r="AD1097" i="1"/>
  <c r="AE1097" i="1"/>
  <c r="AC1096" i="1"/>
  <c r="AD1096" i="1"/>
  <c r="AE1096" i="1"/>
  <c r="AC1095" i="1"/>
  <c r="AD1095" i="1"/>
  <c r="AE1095" i="1"/>
  <c r="AC1094" i="1"/>
  <c r="AD1094" i="1"/>
  <c r="AE1094" i="1"/>
  <c r="AC1093" i="1"/>
  <c r="AD1093" i="1"/>
  <c r="AE1093" i="1"/>
  <c r="AC1092" i="1"/>
  <c r="AD1092" i="1"/>
  <c r="AE1092" i="1"/>
  <c r="AC1091" i="1"/>
  <c r="AD1091" i="1"/>
  <c r="AE1091" i="1"/>
  <c r="AC1090" i="1"/>
  <c r="AD1090" i="1"/>
  <c r="AE1090" i="1"/>
  <c r="AC1089" i="1"/>
  <c r="AD1089" i="1"/>
  <c r="AE1089" i="1"/>
  <c r="AC1088" i="1"/>
  <c r="AD1088" i="1"/>
  <c r="AE1088" i="1"/>
  <c r="AC1087" i="1"/>
  <c r="AD1087" i="1"/>
  <c r="AE1087" i="1"/>
  <c r="AC1086" i="1"/>
  <c r="AD1086" i="1"/>
  <c r="AE1086" i="1"/>
  <c r="AC1085" i="1"/>
  <c r="AD1085" i="1"/>
  <c r="AE1085" i="1"/>
  <c r="AC1084" i="1"/>
  <c r="AD1084" i="1"/>
  <c r="AE1084" i="1"/>
  <c r="AC1083" i="1"/>
  <c r="AD1083" i="1"/>
  <c r="AE1083" i="1"/>
  <c r="AC1082" i="1"/>
  <c r="AD1082" i="1"/>
  <c r="AE1082" i="1"/>
  <c r="AC1081" i="1"/>
  <c r="AD1081" i="1"/>
  <c r="AE1081" i="1"/>
  <c r="AC1080" i="1"/>
  <c r="AD1080" i="1"/>
  <c r="AE1080" i="1"/>
  <c r="AC1079" i="1"/>
  <c r="AD1079" i="1"/>
  <c r="AE1079" i="1"/>
  <c r="AC1078" i="1"/>
  <c r="AD1078" i="1"/>
  <c r="AE1078" i="1"/>
  <c r="AC1077" i="1"/>
  <c r="AD1077" i="1"/>
  <c r="AE1077" i="1"/>
  <c r="AC1076" i="1"/>
  <c r="AD1076" i="1"/>
  <c r="AE1076" i="1"/>
  <c r="AC1075" i="1"/>
  <c r="AD1075" i="1"/>
  <c r="AE1075" i="1"/>
  <c r="AC1074" i="1"/>
  <c r="AD1074" i="1"/>
  <c r="AE1074" i="1"/>
  <c r="AC1073" i="1"/>
  <c r="AD1073" i="1"/>
  <c r="AE1073" i="1"/>
  <c r="AC1072" i="1"/>
  <c r="AD1072" i="1"/>
  <c r="AE1072" i="1"/>
  <c r="AC1071" i="1"/>
  <c r="AD1071" i="1"/>
  <c r="AE1071" i="1"/>
  <c r="AC1070" i="1"/>
  <c r="AD1070" i="1"/>
  <c r="AE1070" i="1"/>
  <c r="AC1069" i="1"/>
  <c r="AD1069" i="1"/>
  <c r="AE1069" i="1"/>
  <c r="AC1068" i="1"/>
  <c r="AD1068" i="1"/>
  <c r="AE1068" i="1"/>
  <c r="AC1067" i="1"/>
  <c r="AD1067" i="1"/>
  <c r="AE1067" i="1"/>
  <c r="AC1066" i="1"/>
  <c r="AD1066" i="1"/>
  <c r="AE1066" i="1"/>
  <c r="AC1065" i="1"/>
  <c r="AD1065" i="1"/>
  <c r="AE1065" i="1"/>
  <c r="AC1064" i="1"/>
  <c r="AD1064" i="1"/>
  <c r="AE1064" i="1"/>
  <c r="AC1063" i="1"/>
  <c r="AD1063" i="1"/>
  <c r="AE1063" i="1"/>
  <c r="AC1062" i="1"/>
  <c r="AD1062" i="1"/>
  <c r="AE1062" i="1"/>
  <c r="AC1061" i="1"/>
  <c r="AD1061" i="1"/>
  <c r="AE1061" i="1"/>
  <c r="AC1060" i="1"/>
  <c r="AD1060" i="1"/>
  <c r="AE1060" i="1"/>
  <c r="AC1059" i="1"/>
  <c r="AD1059" i="1"/>
  <c r="AE1059" i="1"/>
  <c r="AC1058" i="1"/>
  <c r="AD1058" i="1"/>
  <c r="AE1058" i="1"/>
  <c r="AC1057" i="1"/>
  <c r="AD1057" i="1"/>
  <c r="AE1057" i="1"/>
  <c r="AC1056" i="1"/>
  <c r="AD1056" i="1"/>
  <c r="AE1056" i="1"/>
  <c r="AC1055" i="1"/>
  <c r="AD1055" i="1"/>
  <c r="AE1055" i="1"/>
  <c r="AC1054" i="1"/>
  <c r="AD1054" i="1"/>
  <c r="AE1054" i="1"/>
  <c r="AC1053" i="1"/>
  <c r="AD1053" i="1"/>
  <c r="AE1053" i="1"/>
  <c r="AC1052" i="1"/>
  <c r="AD1052" i="1"/>
  <c r="AE1052" i="1"/>
  <c r="AC1051" i="1"/>
  <c r="AD1051" i="1"/>
  <c r="AE1051" i="1"/>
  <c r="AC1050" i="1"/>
  <c r="AD1050" i="1"/>
  <c r="AE1050" i="1"/>
  <c r="AC1049" i="1"/>
  <c r="AD1049" i="1"/>
  <c r="AE1049" i="1"/>
  <c r="AC1048" i="1"/>
  <c r="AD1048" i="1"/>
  <c r="AE1048" i="1"/>
  <c r="AC1047" i="1"/>
  <c r="AD1047" i="1"/>
  <c r="AE1047" i="1"/>
  <c r="AC1046" i="1"/>
  <c r="AD1046" i="1"/>
  <c r="AE1046" i="1"/>
  <c r="AC1045" i="1"/>
  <c r="AD1045" i="1"/>
  <c r="AE1045" i="1"/>
  <c r="AC1044" i="1"/>
  <c r="AD1044" i="1"/>
  <c r="AE1044" i="1"/>
  <c r="AC1043" i="1"/>
  <c r="AD1043" i="1"/>
  <c r="AE1043" i="1"/>
  <c r="AC1042" i="1"/>
  <c r="AD1042" i="1"/>
  <c r="AE1042" i="1"/>
  <c r="AC1041" i="1"/>
  <c r="AD1041" i="1"/>
  <c r="AE1041" i="1"/>
  <c r="AC1040" i="1"/>
  <c r="AD1040" i="1"/>
  <c r="AE1040" i="1"/>
  <c r="AC1039" i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<sst xmlns="http://schemas.openxmlformats.org/spreadsheetml/2006/main" count="7173" uniqueCount="121">
  <si>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</si>
  <si>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</si>
  <si>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</si>
  <si>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</si>
  <si>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</si>
  <si>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</si>
  <si>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</si>
  <si>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</si>
  <si>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</si>
  <si>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</si>
  <si>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</si>
  <si>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</si>
  <si>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</si>
  <si>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</si>
  <si>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</si>
  <si>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</si>
  <si>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</si>
  <si>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</si>
  <si>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</si>
  <si>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</si>
  <si>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</si>
  <si>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</si>
  <si>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</si>
  <si>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</si>
  <si>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</si>
  <si>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</si>
  <si>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</si>
  <si>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</si>
  <si>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</si>
  <si>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</si>
  <si>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</si>
  <si>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</si>
  <si>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</si>
  <si>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</si>
  <si>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</si>
  <si>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</si>
  <si>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</si>
  <si>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</si>
  <si>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</si>
  <si>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</si>
  <si>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</si>
  <si>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</si>
  <si>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</si>
  <si>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</si>
  <si>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</si>
  <si>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</si>
  <si>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</si>
  <si>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</si>
  <si>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</si>
  <si>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</si>
  <si>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</si>
  <si>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</si>
  <si>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</si>
  <si>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</si>
  <si>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</si>
  <si>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</si>
  <si>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</si>
  <si>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</si>
  <si>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</si>
  <si>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</si>
  <si>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</si>
  <si>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</si>
  <si>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</si>
  <si>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</si>
  <si>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</si>
  <si>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</si>
  <si>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</si>
  <si>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</si>
  <si>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</si>
  <si>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</si>
  <si>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</si>
  <si>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</si>
  <si>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</si>
  <si>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</si>
  <si>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</si>
  <si>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</si>
  <si>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</si>
  <si>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</si>
  <si>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</si>
  <si>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</si>
  <si>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</si>
  <si>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</si>
  <si>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</si>
  <si>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</si>
  <si>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</si>
  <si>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</si>
  <si>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</si>
  <si>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</si>
  <si>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</si>
  <si>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</si>
  <si>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</si>
  <si>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</si>
  <si>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</si>
  <si>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</si>
  <si>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</si>
  <si>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</si>
  <si>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</si>
  <si>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</si>
  <si>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</si>
  <si>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</si>
  <si>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</si>
  <si>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</si>
  <si>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</si>
  <si>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</si>
  <si>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</si>
  <si>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</si>
  <si>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</si>
  <si>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</si>
  <si>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</si>
  <si>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</si>
  <si>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</si>
  <si>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</si>
  <si>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</si>
  <si>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</si>
  <si>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</si>
  <si>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</si>
  <si>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</si>
  <si>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</si>
  <si>
    <t>FIrst</t>
  </si>
  <si>
    <t>Season Five. -Overpass +Cache</t>
  </si>
  <si>
    <t>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</si>
</sst>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56" totalsRowShown="0">
  <autoFilter ref="A1:AI1156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56"/>
  <sheetViews>
    <sheetView tabSelected="1" topLeftCell="D1" zoomScaleNormal="100" workbookViewId="0">
      <pane ySplit="1" topLeftCell="A1134" activePane="bottomLeft" state="frozen"/>
      <selection pane="bottomLeft" activeCell="V1157" sqref="V1157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ref="AC1057:AC1062" si="138">IF(C1057=C1056, AC1056+1, 1)</f>
        <v>1</v>
      </c>
      <c r="AD1057">
        <f t="shared" ref="AD1057:AD1062" si="139">IF(T1057="Loss",AD1056+1,0)</f>
        <v>0</v>
      </c>
      <c r="AE1057">
        <f t="shared" ref="AE1057:AE1062" si="140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38"/>
        <v>2</v>
      </c>
      <c r="AD1058">
        <f t="shared" si="139"/>
        <v>0</v>
      </c>
      <c r="AE1058">
        <f t="shared" si="140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38"/>
        <v>3</v>
      </c>
      <c r="AD1059">
        <f t="shared" si="139"/>
        <v>0</v>
      </c>
      <c r="AE1059">
        <f t="shared" si="140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38"/>
        <v>4</v>
      </c>
      <c r="AD1060">
        <f t="shared" si="139"/>
        <v>0</v>
      </c>
      <c r="AE1060">
        <f t="shared" si="140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38"/>
        <v>1</v>
      </c>
      <c r="AD1061">
        <f t="shared" si="139"/>
        <v>0</v>
      </c>
      <c r="AE1061">
        <f t="shared" si="140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38"/>
        <v>1</v>
      </c>
      <c r="AD1062">
        <f t="shared" si="139"/>
        <v>0</v>
      </c>
      <c r="AE1062">
        <f t="shared" si="140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ref="AC1063:AC1069" si="141">IF(C1063=C1062, AC1062+1, 1)</f>
        <v>1</v>
      </c>
      <c r="AD1063">
        <f t="shared" ref="AD1063:AD1069" si="142">IF(T1063="Loss",AD1062+1,0)</f>
        <v>0</v>
      </c>
      <c r="AE1063">
        <f t="shared" ref="AE1063:AE1069" si="143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41"/>
        <v>1</v>
      </c>
      <c r="AD1064">
        <f t="shared" si="142"/>
        <v>1</v>
      </c>
      <c r="AE1064">
        <f t="shared" si="143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41"/>
        <v>1</v>
      </c>
      <c r="AD1065">
        <f t="shared" si="142"/>
        <v>2</v>
      </c>
      <c r="AE1065">
        <f t="shared" si="143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41"/>
        <v>2</v>
      </c>
      <c r="AD1066">
        <f t="shared" si="142"/>
        <v>3</v>
      </c>
      <c r="AE1066">
        <f t="shared" si="143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41"/>
        <v>3</v>
      </c>
      <c r="AD1067">
        <f t="shared" si="142"/>
        <v>0</v>
      </c>
      <c r="AE1067">
        <f t="shared" si="143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41"/>
        <v>4</v>
      </c>
      <c r="AD1068">
        <f t="shared" si="142"/>
        <v>1</v>
      </c>
      <c r="AE1068">
        <f t="shared" si="143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41"/>
        <v>1</v>
      </c>
      <c r="AD1069">
        <f t="shared" si="142"/>
        <v>0</v>
      </c>
      <c r="AE1069">
        <f t="shared" si="143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ref="AC1070:AC1075" si="144">IF(C1070=C1069, AC1069+1, 1)</f>
        <v>1</v>
      </c>
      <c r="AD1070">
        <f t="shared" ref="AD1070:AD1075" si="145">IF(T1070="Loss",AD1069+1,0)</f>
        <v>1</v>
      </c>
      <c r="AE1070">
        <f t="shared" ref="AE1070:AE1075" si="14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44"/>
        <v>1</v>
      </c>
      <c r="AD1071">
        <f t="shared" si="145"/>
        <v>0</v>
      </c>
      <c r="AE1071">
        <f t="shared" si="14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44"/>
        <v>2</v>
      </c>
      <c r="AD1072">
        <f t="shared" si="145"/>
        <v>1</v>
      </c>
      <c r="AE1072">
        <f t="shared" si="14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44"/>
        <v>3</v>
      </c>
      <c r="AD1073">
        <f t="shared" si="145"/>
        <v>0</v>
      </c>
      <c r="AE1073">
        <f t="shared" si="14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44"/>
        <v>4</v>
      </c>
      <c r="AD1074">
        <f t="shared" si="145"/>
        <v>0</v>
      </c>
      <c r="AE1074">
        <f t="shared" si="14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44"/>
        <v>5</v>
      </c>
      <c r="AD1075">
        <f t="shared" si="145"/>
        <v>1</v>
      </c>
      <c r="AE1075">
        <f t="shared" si="14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ref="AC1076:AC1081" si="147">IF(C1076=C1075, AC1075+1, 1)</f>
        <v>6</v>
      </c>
      <c r="AD1076">
        <f t="shared" ref="AD1076:AD1081" si="148">IF(T1076="Loss",AD1075+1,0)</f>
        <v>0</v>
      </c>
      <c r="AE1076">
        <f t="shared" ref="AE1076:AE1081" si="149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47"/>
        <v>1</v>
      </c>
      <c r="AD1077">
        <f t="shared" si="148"/>
        <v>1</v>
      </c>
      <c r="AE1077">
        <f t="shared" si="149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47"/>
        <v>2</v>
      </c>
      <c r="AD1078">
        <f t="shared" si="148"/>
        <v>0</v>
      </c>
      <c r="AE1078">
        <f t="shared" si="149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47"/>
        <v>3</v>
      </c>
      <c r="AD1079">
        <f t="shared" si="148"/>
        <v>0</v>
      </c>
      <c r="AE1079">
        <f t="shared" si="149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47"/>
        <v>4</v>
      </c>
      <c r="AD1080">
        <f t="shared" si="148"/>
        <v>0</v>
      </c>
      <c r="AE1080">
        <f t="shared" si="149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47"/>
        <v>5</v>
      </c>
      <c r="AD1081">
        <f t="shared" si="148"/>
        <v>0</v>
      </c>
      <c r="AE1081">
        <f t="shared" si="149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ref="AC1082:AC1087" si="150">IF(C1082=C1081, AC1081+1, 1)</f>
        <v>1</v>
      </c>
      <c r="AD1082">
        <f t="shared" ref="AD1082:AD1087" si="151">IF(T1082="Loss",AD1081+1,0)</f>
        <v>0</v>
      </c>
      <c r="AE1082">
        <f t="shared" ref="AE1082:AE1087" si="152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50"/>
        <v>1</v>
      </c>
      <c r="AD1083">
        <f t="shared" si="151"/>
        <v>1</v>
      </c>
      <c r="AE1083">
        <f t="shared" si="152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50"/>
        <v>2</v>
      </c>
      <c r="AD1084">
        <f t="shared" si="151"/>
        <v>2</v>
      </c>
      <c r="AE1084">
        <f t="shared" si="152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50"/>
        <v>3</v>
      </c>
      <c r="AD1085">
        <f t="shared" si="151"/>
        <v>3</v>
      </c>
      <c r="AE1085">
        <f t="shared" si="152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50"/>
        <v>1</v>
      </c>
      <c r="AD1086">
        <f t="shared" si="151"/>
        <v>4</v>
      </c>
      <c r="AE1086">
        <f t="shared" si="152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50"/>
        <v>2</v>
      </c>
      <c r="AD1087">
        <f t="shared" si="151"/>
        <v>5</v>
      </c>
      <c r="AE1087">
        <f t="shared" si="152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ref="AC1088:AC1094" si="153">IF(C1088=C1087, AC1087+1, 1)</f>
        <v>3</v>
      </c>
      <c r="AD1088">
        <f t="shared" ref="AD1088:AD1094" si="154">IF(T1088="Loss",AD1087+1,0)</f>
        <v>6</v>
      </c>
      <c r="AE1088">
        <f t="shared" ref="AE1088:AE1094" si="155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53"/>
        <v>4</v>
      </c>
      <c r="AD1089">
        <f t="shared" si="154"/>
        <v>7</v>
      </c>
      <c r="AE1089">
        <f t="shared" si="155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si="153"/>
        <v>1</v>
      </c>
      <c r="AD1090">
        <f t="shared" si="154"/>
        <v>0</v>
      </c>
      <c r="AE1090">
        <f t="shared" si="155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53"/>
        <v>2</v>
      </c>
      <c r="AD1091">
        <f t="shared" si="154"/>
        <v>1</v>
      </c>
      <c r="AE1091">
        <f t="shared" si="155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53"/>
        <v>3</v>
      </c>
      <c r="AD1092">
        <f t="shared" si="154"/>
        <v>2</v>
      </c>
      <c r="AE1092">
        <f t="shared" si="155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53"/>
        <v>4</v>
      </c>
      <c r="AD1093">
        <f t="shared" si="154"/>
        <v>3</v>
      </c>
      <c r="AE1093">
        <f t="shared" si="155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53"/>
        <v>5</v>
      </c>
      <c r="AD1094">
        <f t="shared" si="154"/>
        <v>4</v>
      </c>
      <c r="AE1094">
        <f t="shared" si="155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ref="AC1095:AC1100" si="156">IF(C1095=C1094, AC1094+1, 1)</f>
        <v>6</v>
      </c>
      <c r="AD1095">
        <f t="shared" ref="AD1095:AD1100" si="157">IF(T1095="Loss",AD1094+1,0)</f>
        <v>0</v>
      </c>
      <c r="AE1095">
        <f t="shared" ref="AE1095:AE1100" si="158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56"/>
        <v>1</v>
      </c>
      <c r="AD1096">
        <f t="shared" si="157"/>
        <v>1</v>
      </c>
      <c r="AE1096">
        <f t="shared" si="158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56"/>
        <v>2</v>
      </c>
      <c r="AD1097">
        <f t="shared" si="157"/>
        <v>0</v>
      </c>
      <c r="AE1097">
        <f t="shared" si="158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56"/>
        <v>3</v>
      </c>
      <c r="AD1098">
        <f t="shared" si="157"/>
        <v>0</v>
      </c>
      <c r="AE1098">
        <f t="shared" si="158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56"/>
        <v>4</v>
      </c>
      <c r="AD1099">
        <f t="shared" si="157"/>
        <v>1</v>
      </c>
      <c r="AE1099">
        <f t="shared" si="158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56"/>
        <v>5</v>
      </c>
      <c r="AD1100">
        <f t="shared" si="157"/>
        <v>2</v>
      </c>
      <c r="AE1100">
        <f t="shared" si="158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ref="AC1101:AC1106" si="159">IF(C1101=C1100, AC1100+1, 1)</f>
        <v>1</v>
      </c>
      <c r="AD1101">
        <f t="shared" ref="AD1101:AD1106" si="160">IF(T1101="Loss",AD1100+1,0)</f>
        <v>0</v>
      </c>
      <c r="AE1101">
        <f t="shared" ref="AE1101:AE1106" si="161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59"/>
        <v>2</v>
      </c>
      <c r="AD1102">
        <f t="shared" si="160"/>
        <v>1</v>
      </c>
      <c r="AE1102">
        <f t="shared" si="161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59"/>
        <v>1</v>
      </c>
      <c r="AD1103">
        <f t="shared" si="160"/>
        <v>0</v>
      </c>
      <c r="AE1103">
        <f t="shared" si="161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59"/>
        <v>1</v>
      </c>
      <c r="AD1104">
        <f t="shared" si="160"/>
        <v>1</v>
      </c>
      <c r="AE1104">
        <f t="shared" si="161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59"/>
        <v>1</v>
      </c>
      <c r="AD1105">
        <f t="shared" si="160"/>
        <v>2</v>
      </c>
      <c r="AE1105">
        <f t="shared" si="161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59"/>
        <v>2</v>
      </c>
      <c r="AD1106">
        <f t="shared" si="160"/>
        <v>3</v>
      </c>
      <c r="AE1106">
        <f t="shared" si="161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ref="AC1107:AC1111" si="162">IF(C1107=C1106, AC1106+1, 1)</f>
        <v>3</v>
      </c>
      <c r="AD1107">
        <f t="shared" ref="AD1107:AD1111" si="163">IF(T1107="Loss",AD1106+1,0)</f>
        <v>0</v>
      </c>
      <c r="AE1107">
        <f t="shared" ref="AE1107:AE1111" si="164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62"/>
        <v>1</v>
      </c>
      <c r="AD1108">
        <f t="shared" si="163"/>
        <v>0</v>
      </c>
      <c r="AE1108">
        <f t="shared" si="164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62"/>
        <v>2</v>
      </c>
      <c r="AD1109">
        <f t="shared" si="163"/>
        <v>0</v>
      </c>
      <c r="AE1109">
        <f t="shared" si="164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62"/>
        <v>1</v>
      </c>
      <c r="AD1110">
        <f t="shared" si="163"/>
        <v>1</v>
      </c>
      <c r="AE1110">
        <f t="shared" si="164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62"/>
        <v>2</v>
      </c>
      <c r="AD1111">
        <f t="shared" si="163"/>
        <v>0</v>
      </c>
      <c r="AE1111">
        <f t="shared" si="164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ref="AC1112:AC1117" si="165">IF(C1112=C1111, AC1111+1, 1)</f>
        <v>3</v>
      </c>
      <c r="AD1112">
        <f t="shared" ref="AD1112:AD1117" si="166">IF(T1112="Loss",AD1111+1,0)</f>
        <v>1</v>
      </c>
      <c r="AE1112">
        <f t="shared" ref="AE1112:AE1117" si="167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65"/>
        <v>4</v>
      </c>
      <c r="AD1113">
        <f t="shared" si="166"/>
        <v>0</v>
      </c>
      <c r="AE1113">
        <f t="shared" si="167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65"/>
        <v>5</v>
      </c>
      <c r="AD1114">
        <f t="shared" si="166"/>
        <v>0</v>
      </c>
      <c r="AE1114">
        <f t="shared" si="167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65"/>
        <v>6</v>
      </c>
      <c r="AD1115">
        <f t="shared" si="166"/>
        <v>0</v>
      </c>
      <c r="AE1115">
        <f t="shared" si="167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65"/>
        <v>7</v>
      </c>
      <c r="AD1116">
        <f t="shared" si="166"/>
        <v>1</v>
      </c>
      <c r="AE1116">
        <f t="shared" si="167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65"/>
        <v>8</v>
      </c>
      <c r="AD1117">
        <f t="shared" si="166"/>
        <v>2</v>
      </c>
      <c r="AE1117">
        <f t="shared" si="167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ref="AC1118:AC1123" si="168">IF(C1118=C1117, AC1117+1, 1)</f>
        <v>1</v>
      </c>
      <c r="AD1118">
        <f t="shared" ref="AD1118:AD1123" si="169">IF(T1118="Loss",AD1117+1,0)</f>
        <v>3</v>
      </c>
      <c r="AE1118">
        <f t="shared" ref="AE1118:AE1123" si="170">IF(T1118="Win", AE1117+1, 0)</f>
        <v>0</v>
      </c>
    </row>
    <row r="1119" spans="1:35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68"/>
        <v>1</v>
      </c>
      <c r="AD1119">
        <f t="shared" si="169"/>
        <v>4</v>
      </c>
      <c r="AE1119">
        <f t="shared" si="170"/>
        <v>0</v>
      </c>
    </row>
    <row r="1120" spans="1:35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68"/>
        <v>2</v>
      </c>
      <c r="AD1120">
        <f t="shared" si="169"/>
        <v>5</v>
      </c>
      <c r="AE1120">
        <f t="shared" si="170"/>
        <v>0</v>
      </c>
    </row>
    <row r="1121" spans="1:35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68"/>
        <v>1</v>
      </c>
      <c r="AD1121">
        <f t="shared" si="169"/>
        <v>6</v>
      </c>
      <c r="AE1121">
        <f t="shared" si="170"/>
        <v>0</v>
      </c>
    </row>
    <row r="1122" spans="1:35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68"/>
        <v>2</v>
      </c>
      <c r="AD1122">
        <f t="shared" si="169"/>
        <v>7</v>
      </c>
      <c r="AE1122">
        <f t="shared" si="170"/>
        <v>0</v>
      </c>
      <c r="AF1122">
        <v>-14.37</v>
      </c>
    </row>
    <row r="1123" spans="1:35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68"/>
        <v>3</v>
      </c>
      <c r="AD1123">
        <f t="shared" si="169"/>
        <v>8</v>
      </c>
      <c r="AE1123">
        <f t="shared" si="170"/>
        <v>0</v>
      </c>
    </row>
    <row r="1124" spans="1:35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ref="AC1124:AC1129" si="171">IF(C1124=C1123, AC1123+1, 1)</f>
        <v>1</v>
      </c>
      <c r="AD1124">
        <f t="shared" ref="AD1124:AD1129" si="172">IF(T1124="Loss",AD1123+1,0)</f>
        <v>0</v>
      </c>
      <c r="AE1124">
        <f t="shared" ref="AE1124:AE1129" si="173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71"/>
        <v>1</v>
      </c>
      <c r="AD1125">
        <f t="shared" si="172"/>
        <v>1</v>
      </c>
      <c r="AE1125">
        <f t="shared" si="173"/>
        <v>0</v>
      </c>
      <c r="AF1125">
        <v>-5.98</v>
      </c>
      <c r="AG1125">
        <v>53</v>
      </c>
      <c r="AH1125">
        <v>43</v>
      </c>
      <c r="AI1125">
        <v>68</v>
      </c>
    </row>
    <row r="1126" spans="1:35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71"/>
        <v>2</v>
      </c>
      <c r="AD1126">
        <f t="shared" si="172"/>
        <v>0</v>
      </c>
      <c r="AE1126">
        <f t="shared" si="173"/>
        <v>1</v>
      </c>
      <c r="AF1126">
        <v>-0.46</v>
      </c>
      <c r="AG1126">
        <v>27</v>
      </c>
      <c r="AH1126">
        <v>77</v>
      </c>
      <c r="AI1126">
        <v>71</v>
      </c>
    </row>
    <row r="1127" spans="1:35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71"/>
        <v>3</v>
      </c>
      <c r="AD1127">
        <f t="shared" si="172"/>
        <v>1</v>
      </c>
      <c r="AE1127">
        <f t="shared" si="173"/>
        <v>0</v>
      </c>
    </row>
    <row r="1128" spans="1:35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71"/>
        <v>4</v>
      </c>
      <c r="AD1128">
        <f t="shared" si="172"/>
        <v>2</v>
      </c>
      <c r="AE1128">
        <f t="shared" si="173"/>
        <v>0</v>
      </c>
    </row>
    <row r="1129" spans="1:35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71"/>
        <v>1</v>
      </c>
      <c r="AD1129">
        <f t="shared" si="172"/>
        <v>0</v>
      </c>
      <c r="AE1129">
        <f t="shared" si="173"/>
        <v>0</v>
      </c>
    </row>
    <row r="1130" spans="1:35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ref="AC1130:AC1135" si="174">IF(C1130=C1129, AC1129+1, 1)</f>
        <v>1</v>
      </c>
      <c r="AD1130">
        <f t="shared" ref="AD1130:AD1135" si="175">IF(T1130="Loss",AD1129+1,0)</f>
        <v>1</v>
      </c>
      <c r="AE1130">
        <f t="shared" ref="AE1130:AE1135" si="176">IF(T1130="Win", AE1129+1, 0)</f>
        <v>0</v>
      </c>
    </row>
    <row r="1131" spans="1:35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74"/>
        <v>2</v>
      </c>
      <c r="AD1131">
        <f t="shared" si="175"/>
        <v>0</v>
      </c>
      <c r="AE1131">
        <f t="shared" si="176"/>
        <v>1</v>
      </c>
    </row>
    <row r="1132" spans="1:35" x14ac:dyDescent="0.25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118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74"/>
        <v>1</v>
      </c>
      <c r="AD1132">
        <f t="shared" si="175"/>
        <v>1</v>
      </c>
      <c r="AE1132">
        <f t="shared" si="176"/>
        <v>0</v>
      </c>
    </row>
    <row r="1133" spans="1:35" x14ac:dyDescent="0.25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74"/>
        <v>2</v>
      </c>
      <c r="AD1133">
        <f t="shared" si="175"/>
        <v>0</v>
      </c>
      <c r="AE1133">
        <f t="shared" si="176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x14ac:dyDescent="0.25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74"/>
        <v>3</v>
      </c>
      <c r="AD1134">
        <f t="shared" si="175"/>
        <v>0</v>
      </c>
      <c r="AE1134">
        <f t="shared" si="176"/>
        <v>2</v>
      </c>
    </row>
    <row r="1135" spans="1:35" x14ac:dyDescent="0.25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74"/>
        <v>1</v>
      </c>
      <c r="AD1135">
        <f t="shared" si="175"/>
        <v>0</v>
      </c>
      <c r="AE1135">
        <f t="shared" si="176"/>
        <v>3</v>
      </c>
    </row>
    <row r="1136" spans="1:35" x14ac:dyDescent="0.25">
      <c r="A1136">
        <v>1135</v>
      </c>
      <c r="B1136">
        <v>1</v>
      </c>
      <c r="C1136" s="1">
        <v>46216</v>
      </c>
      <c r="D1136" s="2">
        <v>0.77222222222222225</v>
      </c>
      <c r="E1136" s="2">
        <v>0.77222222222222225</v>
      </c>
      <c r="F1136" t="s">
        <v>59</v>
      </c>
      <c r="G1136" t="s">
        <v>96</v>
      </c>
      <c r="H1136" t="s">
        <v>54</v>
      </c>
      <c r="I1136" t="s">
        <v>87</v>
      </c>
      <c r="J1136" t="s">
        <v>57</v>
      </c>
      <c r="K1136">
        <v>5</v>
      </c>
      <c r="L1136">
        <v>3</v>
      </c>
      <c r="M1136">
        <v>8</v>
      </c>
      <c r="N1136">
        <v>3</v>
      </c>
      <c r="O1136">
        <v>3</v>
      </c>
      <c r="P1136">
        <v>9</v>
      </c>
      <c r="Q1136">
        <v>1322</v>
      </c>
      <c r="R1136">
        <v>60</v>
      </c>
      <c r="S1136">
        <v>25</v>
      </c>
      <c r="T1136" t="s">
        <v>58</v>
      </c>
      <c r="U1136" t="s">
        <v>108</v>
      </c>
      <c r="V1136">
        <v>1</v>
      </c>
      <c r="AC1136">
        <f t="shared" ref="AC1136:AC1142" si="177">IF(C1136=C1135, AC1135+1, 1)</f>
        <v>1</v>
      </c>
      <c r="AD1136">
        <f t="shared" ref="AD1136:AD1142" si="178">IF(T1136="Loss",AD1135+1,0)</f>
        <v>1</v>
      </c>
      <c r="AE1136">
        <f t="shared" ref="AE1136:AE1142" si="179">IF(T1136="Win", AE1135+1, 0)</f>
        <v>0</v>
      </c>
    </row>
    <row r="1137" spans="1:35" x14ac:dyDescent="0.25">
      <c r="A1137">
        <v>1136</v>
      </c>
      <c r="B1137">
        <v>1</v>
      </c>
      <c r="C1137" s="1">
        <v>46216</v>
      </c>
      <c r="D1137" s="2">
        <v>0.80347222222222225</v>
      </c>
      <c r="E1137" s="2">
        <v>0.80347222222222225</v>
      </c>
      <c r="F1137" t="s">
        <v>59</v>
      </c>
      <c r="G1137" t="s">
        <v>96</v>
      </c>
      <c r="I1137" t="s">
        <v>52</v>
      </c>
      <c r="J1137" t="s">
        <v>57</v>
      </c>
      <c r="K1137">
        <v>6</v>
      </c>
      <c r="L1137">
        <v>3</v>
      </c>
      <c r="M1137">
        <v>8</v>
      </c>
      <c r="N1137">
        <v>6</v>
      </c>
      <c r="O1137">
        <v>4</v>
      </c>
      <c r="P1137">
        <v>8</v>
      </c>
      <c r="T1137" t="s">
        <v>58</v>
      </c>
      <c r="U1137" t="s">
        <v>108</v>
      </c>
      <c r="V1137">
        <v>1</v>
      </c>
      <c r="AC1137">
        <f t="shared" si="177"/>
        <v>2</v>
      </c>
      <c r="AD1137">
        <f t="shared" si="178"/>
        <v>2</v>
      </c>
      <c r="AE1137">
        <f t="shared" si="179"/>
        <v>0</v>
      </c>
    </row>
    <row r="1138" spans="1:35" x14ac:dyDescent="0.25">
      <c r="A1138">
        <v>1137</v>
      </c>
      <c r="B1138">
        <v>1</v>
      </c>
      <c r="C1138" s="1">
        <v>46216</v>
      </c>
      <c r="D1138" s="2">
        <v>0.8305555555555556</v>
      </c>
      <c r="E1138" s="2">
        <v>0.8305555555555556</v>
      </c>
      <c r="F1138" t="s">
        <v>50</v>
      </c>
      <c r="G1138" t="s">
        <v>96</v>
      </c>
      <c r="H1138" t="s">
        <v>60</v>
      </c>
      <c r="I1138" t="s">
        <v>52</v>
      </c>
      <c r="J1138" t="s">
        <v>53</v>
      </c>
      <c r="K1138">
        <v>5</v>
      </c>
      <c r="L1138">
        <v>4</v>
      </c>
      <c r="M1138">
        <v>7</v>
      </c>
      <c r="N1138">
        <v>8</v>
      </c>
      <c r="O1138">
        <v>5</v>
      </c>
      <c r="P1138">
        <v>9</v>
      </c>
      <c r="T1138" t="s">
        <v>63</v>
      </c>
      <c r="U1138" t="s">
        <v>108</v>
      </c>
      <c r="V1138">
        <v>5</v>
      </c>
      <c r="AC1138">
        <f t="shared" si="177"/>
        <v>3</v>
      </c>
      <c r="AD1138">
        <f t="shared" si="178"/>
        <v>0</v>
      </c>
      <c r="AE1138">
        <f t="shared" si="179"/>
        <v>1</v>
      </c>
    </row>
    <row r="1139" spans="1:35" x14ac:dyDescent="0.25">
      <c r="A1139">
        <v>1138</v>
      </c>
      <c r="B1139">
        <v>1</v>
      </c>
      <c r="C1139" s="1">
        <v>46217</v>
      </c>
      <c r="D1139" s="2">
        <v>0.79027777777777775</v>
      </c>
      <c r="E1139" s="2">
        <v>0.79027777777777775</v>
      </c>
      <c r="F1139" t="s">
        <v>59</v>
      </c>
      <c r="G1139" t="s">
        <v>96</v>
      </c>
      <c r="H1139" t="s">
        <v>54</v>
      </c>
      <c r="I1139" t="s">
        <v>64</v>
      </c>
      <c r="J1139" t="s">
        <v>57</v>
      </c>
      <c r="K1139">
        <v>4</v>
      </c>
      <c r="L1139">
        <v>7</v>
      </c>
      <c r="M1139">
        <v>11</v>
      </c>
      <c r="N1139">
        <v>4</v>
      </c>
      <c r="O1139">
        <v>0</v>
      </c>
      <c r="P1139">
        <v>7</v>
      </c>
      <c r="Q1139">
        <v>1143</v>
      </c>
      <c r="R1139">
        <v>57</v>
      </c>
      <c r="T1139" t="s">
        <v>58</v>
      </c>
      <c r="U1139" t="s">
        <v>108</v>
      </c>
      <c r="V1139">
        <v>1</v>
      </c>
      <c r="AC1139">
        <f t="shared" si="177"/>
        <v>1</v>
      </c>
      <c r="AD1139">
        <f t="shared" si="178"/>
        <v>1</v>
      </c>
      <c r="AE1139">
        <f t="shared" si="179"/>
        <v>0</v>
      </c>
    </row>
    <row r="1140" spans="1:35" x14ac:dyDescent="0.25">
      <c r="A1140">
        <v>1139</v>
      </c>
      <c r="B1140">
        <v>1</v>
      </c>
      <c r="C1140" s="1">
        <v>46217</v>
      </c>
      <c r="D1140" s="2">
        <v>0.82013888888888886</v>
      </c>
      <c r="E1140" s="2">
        <v>0.82013888888888886</v>
      </c>
      <c r="F1140" t="s">
        <v>50</v>
      </c>
      <c r="G1140" t="s">
        <v>96</v>
      </c>
      <c r="H1140" t="s">
        <v>54</v>
      </c>
      <c r="I1140" t="s">
        <v>55</v>
      </c>
      <c r="J1140" t="s">
        <v>57</v>
      </c>
      <c r="K1140">
        <v>6</v>
      </c>
      <c r="L1140">
        <v>3</v>
      </c>
      <c r="M1140">
        <v>8</v>
      </c>
      <c r="N1140">
        <v>5</v>
      </c>
      <c r="O1140">
        <v>1</v>
      </c>
      <c r="P1140">
        <v>6</v>
      </c>
      <c r="R1140">
        <v>70</v>
      </c>
      <c r="S1140">
        <v>27</v>
      </c>
      <c r="T1140" t="s">
        <v>58</v>
      </c>
      <c r="U1140" t="s">
        <v>108</v>
      </c>
      <c r="V1140">
        <v>1</v>
      </c>
      <c r="AC1140">
        <f t="shared" si="177"/>
        <v>2</v>
      </c>
      <c r="AD1140">
        <f t="shared" si="178"/>
        <v>2</v>
      </c>
      <c r="AE1140">
        <f t="shared" si="179"/>
        <v>0</v>
      </c>
    </row>
    <row r="1141" spans="1:35" x14ac:dyDescent="0.25">
      <c r="A1141">
        <v>1140</v>
      </c>
      <c r="B1141">
        <v>1</v>
      </c>
      <c r="C1141" s="1">
        <v>46218</v>
      </c>
      <c r="D1141" s="2">
        <v>0.80902777777777779</v>
      </c>
      <c r="E1141" s="2">
        <v>0.80902777777777779</v>
      </c>
      <c r="F1141" t="s">
        <v>59</v>
      </c>
      <c r="G1141" t="s">
        <v>96</v>
      </c>
      <c r="H1141" t="s">
        <v>54</v>
      </c>
      <c r="I1141" t="s">
        <v>87</v>
      </c>
      <c r="J1141" t="s">
        <v>57</v>
      </c>
      <c r="K1141">
        <v>4</v>
      </c>
      <c r="L1141">
        <v>4</v>
      </c>
      <c r="M1141">
        <v>9</v>
      </c>
      <c r="N1141">
        <v>2</v>
      </c>
      <c r="O1141">
        <v>8</v>
      </c>
      <c r="P1141">
        <v>9</v>
      </c>
      <c r="Q1141">
        <v>1559</v>
      </c>
      <c r="R1141">
        <v>64</v>
      </c>
      <c r="S1141">
        <v>33</v>
      </c>
      <c r="T1141" t="s">
        <v>63</v>
      </c>
      <c r="U1141" t="s">
        <v>108</v>
      </c>
      <c r="V1141">
        <v>1</v>
      </c>
      <c r="AC1141">
        <f t="shared" si="177"/>
        <v>1</v>
      </c>
      <c r="AD1141">
        <f t="shared" si="178"/>
        <v>0</v>
      </c>
      <c r="AE1141">
        <f t="shared" si="179"/>
        <v>1</v>
      </c>
    </row>
    <row r="1142" spans="1:35" x14ac:dyDescent="0.25">
      <c r="A1142">
        <v>1141</v>
      </c>
      <c r="B1142">
        <v>1</v>
      </c>
      <c r="C1142" s="1">
        <v>46219</v>
      </c>
      <c r="D1142" s="2">
        <v>0.74444444444444446</v>
      </c>
      <c r="E1142" s="2">
        <v>0.74444444444444446</v>
      </c>
      <c r="F1142" t="s">
        <v>59</v>
      </c>
      <c r="G1142" t="s">
        <v>101</v>
      </c>
      <c r="H1142" t="s">
        <v>60</v>
      </c>
      <c r="I1142" t="s">
        <v>55</v>
      </c>
      <c r="J1142" t="s">
        <v>53</v>
      </c>
      <c r="Q1142">
        <v>2222</v>
      </c>
      <c r="R1142">
        <v>111</v>
      </c>
      <c r="S1142">
        <v>47</v>
      </c>
      <c r="T1142" t="s">
        <v>63</v>
      </c>
      <c r="U1142" t="s">
        <v>108</v>
      </c>
      <c r="V1142">
        <v>1</v>
      </c>
      <c r="AC1142">
        <f t="shared" si="177"/>
        <v>1</v>
      </c>
      <c r="AD1142">
        <f t="shared" si="178"/>
        <v>0</v>
      </c>
      <c r="AE1142">
        <f t="shared" si="179"/>
        <v>2</v>
      </c>
    </row>
    <row r="1143" spans="1:35" x14ac:dyDescent="0.25">
      <c r="A1143">
        <v>1142</v>
      </c>
      <c r="B1143">
        <v>1</v>
      </c>
      <c r="C1143" s="1">
        <v>46220</v>
      </c>
      <c r="D1143" s="2">
        <v>0.80277777777777781</v>
      </c>
      <c r="E1143" s="2">
        <v>0.80277777777777781</v>
      </c>
      <c r="F1143" t="s">
        <v>59</v>
      </c>
      <c r="G1143" t="s">
        <v>97</v>
      </c>
      <c r="H1143" t="s">
        <v>54</v>
      </c>
      <c r="I1143" t="s">
        <v>55</v>
      </c>
      <c r="J1143" t="s">
        <v>57</v>
      </c>
      <c r="T1143" t="s">
        <v>58</v>
      </c>
      <c r="U1143" t="s">
        <v>108</v>
      </c>
      <c r="V1143">
        <v>1</v>
      </c>
      <c r="AA1143" t="s">
        <v>71</v>
      </c>
      <c r="AC1143">
        <f t="shared" ref="AC1143:AC1148" si="180">IF(C1143=C1142, AC1142+1, 1)</f>
        <v>1</v>
      </c>
      <c r="AD1143">
        <f t="shared" ref="AD1143:AD1148" si="181">IF(T1143="Loss",AD1142+1,0)</f>
        <v>1</v>
      </c>
      <c r="AE1143">
        <f t="shared" ref="AE1143:AE1148" si="182">IF(T1143="Win", AE1142+1, 0)</f>
        <v>0</v>
      </c>
    </row>
    <row r="1144" spans="1:35" x14ac:dyDescent="0.25">
      <c r="A1144">
        <v>1143</v>
      </c>
      <c r="B1144">
        <v>1</v>
      </c>
      <c r="C1144" s="1">
        <v>46220</v>
      </c>
      <c r="D1144" s="2">
        <v>0.82777777777777772</v>
      </c>
      <c r="E1144" s="2">
        <v>0.82777777777777772</v>
      </c>
      <c r="F1144" t="s">
        <v>59</v>
      </c>
      <c r="G1144" t="s">
        <v>101</v>
      </c>
      <c r="H1144" t="s">
        <v>54</v>
      </c>
      <c r="I1144" t="s">
        <v>120</v>
      </c>
      <c r="J1144" t="s">
        <v>57</v>
      </c>
      <c r="K1144">
        <v>9</v>
      </c>
      <c r="L1144">
        <v>1</v>
      </c>
      <c r="M1144">
        <v>8</v>
      </c>
      <c r="N1144">
        <v>14</v>
      </c>
      <c r="O1144">
        <v>4</v>
      </c>
      <c r="P1144">
        <v>8</v>
      </c>
      <c r="Q1144">
        <v>2108</v>
      </c>
      <c r="R1144">
        <v>87</v>
      </c>
      <c r="S1144">
        <v>21</v>
      </c>
      <c r="T1144" t="s">
        <v>63</v>
      </c>
      <c r="U1144" t="s">
        <v>108</v>
      </c>
      <c r="V1144">
        <v>1</v>
      </c>
      <c r="AC1144">
        <f t="shared" si="180"/>
        <v>2</v>
      </c>
      <c r="AD1144">
        <f t="shared" si="181"/>
        <v>0</v>
      </c>
      <c r="AE1144">
        <f t="shared" si="182"/>
        <v>1</v>
      </c>
    </row>
    <row r="1145" spans="1:35" x14ac:dyDescent="0.25">
      <c r="A1145">
        <v>1144</v>
      </c>
      <c r="B1145">
        <v>1</v>
      </c>
      <c r="C1145" s="1">
        <v>46221</v>
      </c>
      <c r="D1145" s="2">
        <v>0.82222222222222219</v>
      </c>
      <c r="E1145" s="2">
        <v>0.82222222222222219</v>
      </c>
      <c r="F1145" t="s">
        <v>50</v>
      </c>
      <c r="G1145" t="s">
        <v>97</v>
      </c>
      <c r="H1145" t="s">
        <v>54</v>
      </c>
      <c r="I1145" t="s">
        <v>87</v>
      </c>
      <c r="J1145" t="s">
        <v>53</v>
      </c>
      <c r="T1145" t="s">
        <v>63</v>
      </c>
      <c r="U1145" t="s">
        <v>108</v>
      </c>
      <c r="V1145">
        <v>1</v>
      </c>
      <c r="AC1145">
        <f t="shared" si="180"/>
        <v>1</v>
      </c>
      <c r="AD1145">
        <f t="shared" si="181"/>
        <v>0</v>
      </c>
      <c r="AE1145">
        <f t="shared" si="182"/>
        <v>2</v>
      </c>
    </row>
    <row r="1146" spans="1:35" x14ac:dyDescent="0.25">
      <c r="A1146">
        <v>1145</v>
      </c>
      <c r="B1146">
        <v>1</v>
      </c>
      <c r="C1146" s="1">
        <v>46221</v>
      </c>
      <c r="D1146" s="2">
        <v>0.84861111111111109</v>
      </c>
      <c r="E1146" s="2">
        <v>0.84861111111111109</v>
      </c>
      <c r="F1146" t="s">
        <v>59</v>
      </c>
      <c r="G1146" t="s">
        <v>96</v>
      </c>
      <c r="H1146" t="s">
        <v>54</v>
      </c>
      <c r="I1146" t="s">
        <v>55</v>
      </c>
      <c r="J1146" t="s">
        <v>57</v>
      </c>
      <c r="K1146">
        <v>9</v>
      </c>
      <c r="L1146">
        <v>2</v>
      </c>
      <c r="M1146">
        <v>8</v>
      </c>
      <c r="T1146" t="s">
        <v>58</v>
      </c>
      <c r="U1146" t="s">
        <v>108</v>
      </c>
      <c r="V1146">
        <v>1</v>
      </c>
      <c r="AC1146">
        <f t="shared" si="180"/>
        <v>2</v>
      </c>
      <c r="AD1146">
        <f t="shared" si="181"/>
        <v>1</v>
      </c>
      <c r="AE1146">
        <f t="shared" si="182"/>
        <v>0</v>
      </c>
    </row>
    <row r="1147" spans="1:35" x14ac:dyDescent="0.25">
      <c r="A1147">
        <v>1146</v>
      </c>
      <c r="B1147">
        <v>1</v>
      </c>
      <c r="C1147" s="1">
        <v>46221</v>
      </c>
      <c r="D1147" s="2">
        <v>0.89097222222222228</v>
      </c>
      <c r="E1147" s="2">
        <v>0.89097222222222228</v>
      </c>
      <c r="F1147" t="s">
        <v>50</v>
      </c>
      <c r="G1147" t="s">
        <v>101</v>
      </c>
      <c r="H1147" t="s">
        <v>54</v>
      </c>
      <c r="I1147" t="s">
        <v>104</v>
      </c>
      <c r="J1147" t="s">
        <v>53</v>
      </c>
      <c r="K1147">
        <v>1</v>
      </c>
      <c r="L1147">
        <v>0</v>
      </c>
      <c r="M1147">
        <v>5</v>
      </c>
      <c r="N1147">
        <v>8</v>
      </c>
      <c r="O1147">
        <v>1</v>
      </c>
      <c r="P1147">
        <v>9</v>
      </c>
      <c r="Q1147">
        <v>894</v>
      </c>
      <c r="R1147">
        <v>52</v>
      </c>
      <c r="S1147">
        <v>44</v>
      </c>
      <c r="T1147" t="s">
        <v>58</v>
      </c>
      <c r="U1147" t="s">
        <v>108</v>
      </c>
      <c r="V1147">
        <v>1</v>
      </c>
      <c r="AC1147">
        <f t="shared" si="180"/>
        <v>3</v>
      </c>
      <c r="AD1147">
        <f t="shared" si="181"/>
        <v>2</v>
      </c>
      <c r="AE1147">
        <f t="shared" si="182"/>
        <v>0</v>
      </c>
    </row>
    <row r="1148" spans="1:35" x14ac:dyDescent="0.25">
      <c r="A1148">
        <v>1147</v>
      </c>
      <c r="B1148">
        <v>1</v>
      </c>
      <c r="C1148" s="1">
        <v>46221</v>
      </c>
      <c r="D1148" s="2">
        <v>0.92083333333333328</v>
      </c>
      <c r="E1148" s="2">
        <v>0.92083333333333328</v>
      </c>
      <c r="F1148" t="s">
        <v>50</v>
      </c>
      <c r="G1148" t="s">
        <v>97</v>
      </c>
      <c r="H1148" t="s">
        <v>54</v>
      </c>
      <c r="I1148" t="s">
        <v>87</v>
      </c>
      <c r="J1148" t="s">
        <v>53</v>
      </c>
      <c r="K1148">
        <v>3</v>
      </c>
      <c r="L1148">
        <v>5</v>
      </c>
      <c r="M1148">
        <v>5</v>
      </c>
      <c r="N1148">
        <v>11</v>
      </c>
      <c r="O1148">
        <v>1</v>
      </c>
      <c r="P1148">
        <v>6</v>
      </c>
      <c r="R1148">
        <v>62</v>
      </c>
      <c r="S1148">
        <v>14</v>
      </c>
      <c r="T1148" t="s">
        <v>63</v>
      </c>
      <c r="U1148" t="s">
        <v>108</v>
      </c>
      <c r="V1148">
        <v>1</v>
      </c>
      <c r="AC1148">
        <f t="shared" si="180"/>
        <v>4</v>
      </c>
      <c r="AD1148">
        <f t="shared" si="181"/>
        <v>0</v>
      </c>
      <c r="AE1148">
        <f t="shared" si="182"/>
        <v>1</v>
      </c>
    </row>
    <row r="1149" spans="1:35" x14ac:dyDescent="0.25">
      <c r="A1149">
        <v>1148</v>
      </c>
      <c r="B1149">
        <v>1</v>
      </c>
      <c r="C1149" s="1">
        <v>46222</v>
      </c>
      <c r="D1149" s="2">
        <v>0.76458333333333328</v>
      </c>
      <c r="E1149" s="2">
        <v>0.76458333333333328</v>
      </c>
      <c r="F1149" t="s">
        <v>50</v>
      </c>
      <c r="G1149" t="s">
        <v>96</v>
      </c>
      <c r="I1149" t="s">
        <v>87</v>
      </c>
      <c r="J1149" t="s">
        <v>53</v>
      </c>
      <c r="K1149">
        <v>7</v>
      </c>
      <c r="L1149">
        <v>4</v>
      </c>
      <c r="M1149">
        <v>6</v>
      </c>
      <c r="N1149">
        <v>11</v>
      </c>
      <c r="O1149">
        <v>3</v>
      </c>
      <c r="P1149">
        <v>6</v>
      </c>
      <c r="R1149">
        <v>97</v>
      </c>
      <c r="S1149">
        <v>55</v>
      </c>
      <c r="T1149" t="s">
        <v>63</v>
      </c>
      <c r="U1149" t="s">
        <v>108</v>
      </c>
      <c r="V1149">
        <v>2</v>
      </c>
      <c r="AC1149">
        <f t="shared" ref="AC1149:AC1155" si="183">IF(C1149=C1148, AC1148+1, 1)</f>
        <v>1</v>
      </c>
      <c r="AD1149">
        <f t="shared" ref="AD1149:AD1155" si="184">IF(T1149="Loss",AD1148+1,0)</f>
        <v>0</v>
      </c>
      <c r="AE1149">
        <f t="shared" ref="AE1149:AE1155" si="185">IF(T1149="Win", AE1148+1, 0)</f>
        <v>2</v>
      </c>
      <c r="AF1149">
        <v>4.8600000000000003</v>
      </c>
      <c r="AG1149">
        <v>44</v>
      </c>
      <c r="AH1149">
        <v>69</v>
      </c>
      <c r="AI1149">
        <v>63</v>
      </c>
    </row>
    <row r="1150" spans="1:35" x14ac:dyDescent="0.25">
      <c r="A1150">
        <v>1149</v>
      </c>
      <c r="B1150">
        <v>1</v>
      </c>
      <c r="C1150" s="1">
        <v>46222</v>
      </c>
      <c r="D1150" s="2">
        <v>0.79097222222222219</v>
      </c>
      <c r="E1150" s="2">
        <v>0.79097222222222219</v>
      </c>
      <c r="F1150" t="s">
        <v>59</v>
      </c>
      <c r="G1150" t="s">
        <v>96</v>
      </c>
      <c r="I1150" t="s">
        <v>55</v>
      </c>
      <c r="J1150" t="s">
        <v>57</v>
      </c>
      <c r="Q1150">
        <v>2209</v>
      </c>
      <c r="R1150">
        <v>78</v>
      </c>
      <c r="S1150">
        <v>7</v>
      </c>
      <c r="T1150" t="s">
        <v>63</v>
      </c>
      <c r="U1150" t="s">
        <v>108</v>
      </c>
      <c r="V1150">
        <v>2</v>
      </c>
      <c r="AC1150">
        <f t="shared" si="183"/>
        <v>2</v>
      </c>
      <c r="AD1150">
        <f t="shared" si="184"/>
        <v>0</v>
      </c>
      <c r="AE1150">
        <f t="shared" si="185"/>
        <v>3</v>
      </c>
      <c r="AF1150">
        <v>4.28</v>
      </c>
      <c r="AG1150">
        <v>22</v>
      </c>
      <c r="AH1150">
        <v>53</v>
      </c>
      <c r="AI1150">
        <v>52</v>
      </c>
    </row>
    <row r="1151" spans="1:35" x14ac:dyDescent="0.25">
      <c r="A1151">
        <v>1150</v>
      </c>
      <c r="B1151">
        <v>2</v>
      </c>
      <c r="C1151" s="1">
        <v>46230</v>
      </c>
      <c r="D1151" s="2">
        <v>0.71666666666666667</v>
      </c>
      <c r="E1151" s="2">
        <v>0.71666666666666667</v>
      </c>
      <c r="F1151" t="s">
        <v>59</v>
      </c>
      <c r="G1151" t="s">
        <v>96</v>
      </c>
      <c r="H1151" t="s">
        <v>54</v>
      </c>
      <c r="I1151" t="s">
        <v>64</v>
      </c>
      <c r="J1151" t="s">
        <v>53</v>
      </c>
      <c r="K1151">
        <v>8</v>
      </c>
      <c r="L1151">
        <v>1</v>
      </c>
      <c r="M1151">
        <v>6</v>
      </c>
      <c r="N1151">
        <v>8</v>
      </c>
      <c r="O1151">
        <v>1</v>
      </c>
      <c r="P1151">
        <v>11</v>
      </c>
      <c r="Q1151">
        <v>1746</v>
      </c>
      <c r="R1151">
        <v>87</v>
      </c>
      <c r="S1151">
        <v>43</v>
      </c>
      <c r="T1151" t="s">
        <v>58</v>
      </c>
      <c r="U1151" t="s">
        <v>108</v>
      </c>
      <c r="V1151">
        <v>2</v>
      </c>
      <c r="AC1151">
        <f t="shared" si="183"/>
        <v>1</v>
      </c>
      <c r="AD1151">
        <f t="shared" si="184"/>
        <v>1</v>
      </c>
      <c r="AE1151">
        <f t="shared" si="185"/>
        <v>0</v>
      </c>
    </row>
    <row r="1152" spans="1:35" x14ac:dyDescent="0.25">
      <c r="A1152">
        <v>1151</v>
      </c>
      <c r="B1152">
        <v>1</v>
      </c>
      <c r="C1152" s="1">
        <v>46230</v>
      </c>
      <c r="D1152" s="2">
        <v>0.82916666666666672</v>
      </c>
      <c r="E1152" s="2">
        <v>0.82916666666666672</v>
      </c>
      <c r="F1152" t="s">
        <v>50</v>
      </c>
      <c r="G1152" t="s">
        <v>97</v>
      </c>
      <c r="H1152" t="s">
        <v>54</v>
      </c>
      <c r="I1152" t="s">
        <v>120</v>
      </c>
      <c r="J1152" t="s">
        <v>53</v>
      </c>
      <c r="K1152">
        <v>4</v>
      </c>
      <c r="L1152">
        <v>6</v>
      </c>
      <c r="M1152">
        <v>11</v>
      </c>
      <c r="N1152">
        <v>5</v>
      </c>
      <c r="O1152">
        <v>2</v>
      </c>
      <c r="P1152">
        <v>9</v>
      </c>
      <c r="Q1152">
        <v>1467</v>
      </c>
      <c r="R1152">
        <v>61</v>
      </c>
      <c r="T1152" t="s">
        <v>63</v>
      </c>
      <c r="U1152" t="s">
        <v>108</v>
      </c>
      <c r="V1152">
        <v>1</v>
      </c>
      <c r="AC1152">
        <f t="shared" si="183"/>
        <v>2</v>
      </c>
      <c r="AD1152">
        <f t="shared" si="184"/>
        <v>0</v>
      </c>
      <c r="AE1152">
        <f t="shared" si="185"/>
        <v>1</v>
      </c>
    </row>
    <row r="1153" spans="1:35" x14ac:dyDescent="0.25">
      <c r="A1153">
        <v>1152</v>
      </c>
      <c r="B1153">
        <v>1</v>
      </c>
      <c r="C1153" s="1">
        <v>46231</v>
      </c>
      <c r="D1153" s="2">
        <v>0.76111111111111107</v>
      </c>
      <c r="E1153" s="2">
        <v>0.76111111111111107</v>
      </c>
      <c r="F1153" t="s">
        <v>50</v>
      </c>
      <c r="G1153" t="s">
        <v>97</v>
      </c>
      <c r="H1153" t="s">
        <v>60</v>
      </c>
      <c r="I1153" t="s">
        <v>64</v>
      </c>
      <c r="J1153" t="s">
        <v>53</v>
      </c>
      <c r="K1153">
        <v>11</v>
      </c>
      <c r="L1153">
        <v>3</v>
      </c>
      <c r="M1153">
        <v>9</v>
      </c>
      <c r="N1153">
        <v>7</v>
      </c>
      <c r="O1153">
        <v>5</v>
      </c>
      <c r="P1153">
        <v>9</v>
      </c>
      <c r="Q1153">
        <v>1914</v>
      </c>
      <c r="R1153">
        <v>83</v>
      </c>
      <c r="S1153">
        <v>44</v>
      </c>
      <c r="T1153" t="s">
        <v>58</v>
      </c>
      <c r="U1153">
        <v>16647</v>
      </c>
      <c r="V1153">
        <v>1</v>
      </c>
      <c r="AC1153">
        <f t="shared" si="183"/>
        <v>1</v>
      </c>
      <c r="AD1153">
        <f t="shared" si="184"/>
        <v>1</v>
      </c>
      <c r="AE1153">
        <f t="shared" si="185"/>
        <v>0</v>
      </c>
    </row>
    <row r="1154" spans="1:35" x14ac:dyDescent="0.25">
      <c r="A1154">
        <v>1153</v>
      </c>
      <c r="B1154">
        <v>2</v>
      </c>
      <c r="C1154" s="1">
        <v>46231</v>
      </c>
      <c r="D1154" s="2">
        <v>0.79166666666666663</v>
      </c>
      <c r="E1154" s="2">
        <v>0.79166666666666663</v>
      </c>
      <c r="F1154" t="s">
        <v>59</v>
      </c>
      <c r="G1154" t="s">
        <v>96</v>
      </c>
      <c r="H1154" t="s">
        <v>60</v>
      </c>
      <c r="I1154" t="s">
        <v>104</v>
      </c>
      <c r="J1154" t="s">
        <v>57</v>
      </c>
      <c r="K1154">
        <v>10</v>
      </c>
      <c r="L1154">
        <v>4</v>
      </c>
      <c r="M1154">
        <v>8</v>
      </c>
      <c r="N1154">
        <v>4</v>
      </c>
      <c r="O1154">
        <v>1</v>
      </c>
      <c r="P1154">
        <v>7</v>
      </c>
      <c r="Q1154">
        <v>1526</v>
      </c>
      <c r="R1154">
        <v>66</v>
      </c>
      <c r="S1154">
        <v>42</v>
      </c>
      <c r="T1154" t="s">
        <v>63</v>
      </c>
      <c r="U1154">
        <v>16543</v>
      </c>
      <c r="V1154">
        <v>2</v>
      </c>
      <c r="AC1154">
        <f t="shared" si="183"/>
        <v>2</v>
      </c>
      <c r="AD1154">
        <f t="shared" si="184"/>
        <v>0</v>
      </c>
      <c r="AE1154">
        <f t="shared" si="185"/>
        <v>1</v>
      </c>
    </row>
    <row r="1155" spans="1:35" x14ac:dyDescent="0.25">
      <c r="A1155">
        <v>1154</v>
      </c>
      <c r="B1155">
        <v>2</v>
      </c>
      <c r="C1155" s="1">
        <v>46231</v>
      </c>
      <c r="D1155" s="2">
        <v>0.8208333333333333</v>
      </c>
      <c r="E1155" s="2">
        <v>0.8208333333333333</v>
      </c>
      <c r="F1155" t="s">
        <v>50</v>
      </c>
      <c r="G1155" t="s">
        <v>96</v>
      </c>
      <c r="H1155" t="s">
        <v>60</v>
      </c>
      <c r="I1155" t="s">
        <v>52</v>
      </c>
      <c r="J1155" t="s">
        <v>53</v>
      </c>
      <c r="K1155">
        <v>5</v>
      </c>
      <c r="L1155">
        <v>3</v>
      </c>
      <c r="M1155">
        <v>13</v>
      </c>
      <c r="N1155">
        <v>9</v>
      </c>
      <c r="O1155">
        <v>6</v>
      </c>
      <c r="P1155">
        <v>8</v>
      </c>
      <c r="R1155">
        <v>62</v>
      </c>
      <c r="S1155">
        <v>35</v>
      </c>
      <c r="T1155" t="s">
        <v>63</v>
      </c>
      <c r="U1155">
        <v>16953</v>
      </c>
      <c r="V1155">
        <v>2</v>
      </c>
      <c r="AC1155">
        <f t="shared" si="183"/>
        <v>3</v>
      </c>
      <c r="AD1155">
        <f t="shared" si="184"/>
        <v>0</v>
      </c>
      <c r="AE1155">
        <f t="shared" si="185"/>
        <v>2</v>
      </c>
    </row>
    <row r="1156" spans="1:35" x14ac:dyDescent="0.25">
      <c r="A1156">
        <v>1155</v>
      </c>
      <c r="B1156">
        <v>1</v>
      </c>
      <c r="C1156" s="1">
        <v>46249</v>
      </c>
      <c r="D1156" s="2">
        <v>0.74791666666666667</v>
      </c>
      <c r="E1156" s="2">
        <v>0.74791666666666667</v>
      </c>
      <c r="F1156" t="s">
        <v>59</v>
      </c>
      <c r="G1156" t="s">
        <v>101</v>
      </c>
      <c r="H1156" t="s">
        <v>54</v>
      </c>
      <c r="I1156" t="s">
        <v>52</v>
      </c>
      <c r="J1156" t="s">
        <v>57</v>
      </c>
      <c r="K1156">
        <v>12</v>
      </c>
      <c r="L1156">
        <v>6</v>
      </c>
      <c r="M1156">
        <v>4</v>
      </c>
      <c r="N1156">
        <v>2</v>
      </c>
      <c r="O1156">
        <v>0</v>
      </c>
      <c r="P1156">
        <v>1</v>
      </c>
      <c r="Q1156">
        <v>1447</v>
      </c>
      <c r="R1156">
        <v>103</v>
      </c>
      <c r="S1156">
        <v>64</v>
      </c>
      <c r="T1156" t="s">
        <v>63</v>
      </c>
      <c r="U1156">
        <v>17374</v>
      </c>
      <c r="V1156">
        <v>1</v>
      </c>
      <c r="AC1156" s="5">
        <f>IF(C1156=C1155, AC1155+1, 1)</f>
        <v>1</v>
      </c>
      <c r="AD1156" s="5">
        <f>IF(T1156="Loss",AD1155+1,0)</f>
        <v>0</v>
      </c>
      <c r="AE1156" s="5">
        <f>IF(T1156="Win", AE1155+1, 0)</f>
        <v>3</v>
      </c>
      <c r="AF1156" s="5"/>
      <c r="AG1156" s="5"/>
      <c r="AH1156" s="5"/>
      <c r="AI1156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F27" sqref="F27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46043</v>
      </c>
      <c r="I8" t="s">
        <v>116</v>
      </c>
    </row>
    <row r="9" spans="1:9" x14ac:dyDescent="0.25">
      <c r="A9" t="s">
        <v>25</v>
      </c>
      <c r="B9" t="s">
        <v>27</v>
      </c>
      <c r="H9" s="3">
        <v>46211</v>
      </c>
      <c r="I9" t="s">
        <v>119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2026-08-15T22:20:08Z</dcterms:modified>
</cp:coreProperties>
</file>