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1DB5410F-E6CE-400A-8DF0-939973BF5F71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50" i="1" l="1"/>
  <c r="AD1150" i="1"/>
  <c r="AE1150" i="1"/>
  <c r="AC1149" i="1"/>
  <c r="AD1149" i="1"/>
  <c r="AE1149" i="1"/>
  <c r="AC1148" i="1"/>
  <c r="AD1148" i="1"/>
  <c r="AE1148" i="1"/>
  <c r="AC1147" i="1"/>
  <c r="AD1147" i="1"/>
  <c r="AE1147" i="1"/>
  <c r="AC1146" i="1"/>
  <c r="AD1146" i="1"/>
  <c r="AE1146" i="1"/>
  <c r="AC1145" i="1"/>
  <c r="AD1145" i="1"/>
  <c r="AE1145" i="1"/>
  <c r="AC1144" i="1"/>
  <c r="AD1144" i="1"/>
  <c r="AE1144" i="1"/>
  <c r="AC1143" i="1"/>
  <c r="AD1143" i="1"/>
  <c r="AE1143" i="1"/>
  <c r="AC1142" i="1"/>
  <c r="AD1142" i="1"/>
  <c r="AE1142" i="1"/>
  <c r="AC1141" i="1"/>
  <c r="AD1141" i="1"/>
  <c r="AE1141" i="1"/>
  <c r="AC1140" i="1"/>
  <c r="AD1140" i="1"/>
  <c r="AE1140" i="1"/>
  <c r="AC1139" i="1"/>
  <c r="AD1139" i="1"/>
  <c r="AE1139" i="1"/>
  <c r="AC1138" i="1"/>
  <c r="AD1138" i="1"/>
  <c r="AE1138" i="1"/>
  <c r="AC1137" i="1"/>
  <c r="AD1137" i="1"/>
  <c r="AE1137" i="1"/>
  <c r="AC1136" i="1"/>
  <c r="AD1136" i="1"/>
  <c r="AE1136" i="1"/>
  <c r="AC1135" i="1"/>
  <c r="AD1135" i="1"/>
  <c r="AE1135" i="1"/>
  <c r="AC1134" i="1"/>
  <c r="AD1134" i="1"/>
  <c r="AE1134" i="1"/>
  <c r="AC1133" i="1"/>
  <c r="AD1133" i="1"/>
  <c r="AE1133" i="1"/>
  <c r="AC1132" i="1"/>
  <c r="AD1132" i="1"/>
  <c r="AE1132" i="1"/>
  <c r="AC1131" i="1"/>
  <c r="AD1131" i="1"/>
  <c r="AE1131" i="1"/>
  <c r="AC1130" i="1"/>
  <c r="AD1130" i="1"/>
  <c r="AE1130" i="1"/>
  <c r="AC1129" i="1"/>
  <c r="AD1129" i="1"/>
  <c r="AE1129" i="1"/>
  <c r="AC1128" i="1"/>
  <c r="AD1128" i="1"/>
  <c r="AE1128" i="1"/>
  <c r="AC1127" i="1"/>
  <c r="AD1127" i="1"/>
  <c r="AE1127" i="1"/>
  <c r="AC1126" i="1"/>
  <c r="AD1126" i="1"/>
  <c r="AE1126" i="1"/>
  <c r="AC1125" i="1"/>
  <c r="AD1125" i="1"/>
  <c r="AE1125" i="1"/>
  <c r="AC1124" i="1"/>
  <c r="AD1124" i="1"/>
  <c r="AE1124" i="1"/>
  <c r="AC1123" i="1"/>
  <c r="AD1123" i="1"/>
  <c r="AE1123" i="1"/>
  <c r="AC1122" i="1"/>
  <c r="AD1122" i="1"/>
  <c r="AE1122" i="1"/>
  <c r="AC1121" i="1"/>
  <c r="AD1121" i="1"/>
  <c r="AE1121" i="1"/>
  <c r="AC1120" i="1"/>
  <c r="AD1120" i="1"/>
  <c r="AE1120" i="1"/>
  <c r="AC1119" i="1"/>
  <c r="AD1119" i="1"/>
  <c r="AE1119" i="1"/>
  <c r="AC1118" i="1"/>
  <c r="AD1118" i="1"/>
  <c r="AE1118" i="1"/>
  <c r="AC1117" i="1"/>
  <c r="AD1117" i="1"/>
  <c r="AE1117" i="1"/>
  <c r="AC1116" i="1"/>
  <c r="AD1116" i="1"/>
  <c r="AE1116" i="1"/>
  <c r="AC1115" i="1"/>
  <c r="AD1115" i="1"/>
  <c r="AE1115" i="1"/>
  <c r="AC1114" i="1"/>
  <c r="AD1114" i="1"/>
  <c r="AE1114" i="1"/>
  <c r="AC1113" i="1"/>
  <c r="AD1113" i="1"/>
  <c r="AE1113" i="1"/>
  <c r="AC1112" i="1"/>
  <c r="AD1112" i="1"/>
  <c r="AE1112" i="1"/>
  <c r="AD1107" i="1"/>
  <c r="AD1108" i="1"/>
  <c r="AD1109" i="1"/>
  <c r="AD1110" i="1"/>
  <c r="AD1111" i="1"/>
  <c r="AE1107" i="1"/>
  <c r="AE1108" i="1"/>
  <c r="AE1109" i="1"/>
  <c r="AE1110" i="1"/>
  <c r="AE1111" i="1"/>
  <c r="AC1107" i="1"/>
  <c r="AC1108" i="1"/>
  <c r="AC1109" i="1" s="1"/>
  <c r="AC1110" i="1" s="1"/>
  <c r="AC1111" i="1" s="1"/>
  <c r="AC1106" i="1"/>
  <c r="AD1106" i="1"/>
  <c r="AE1106" i="1"/>
  <c r="AC1105" i="1"/>
  <c r="AD1105" i="1"/>
  <c r="AE1105" i="1"/>
  <c r="AC1104" i="1"/>
  <c r="AD1104" i="1"/>
  <c r="AE1104" i="1"/>
  <c r="AC1103" i="1"/>
  <c r="AD1103" i="1"/>
  <c r="AE1103" i="1"/>
  <c r="AC1102" i="1"/>
  <c r="AD1102" i="1"/>
  <c r="AE1102" i="1"/>
  <c r="AC1101" i="1"/>
  <c r="AD1101" i="1"/>
  <c r="AE1101" i="1"/>
  <c r="AC1100" i="1"/>
  <c r="AD1100" i="1"/>
  <c r="AE1100" i="1"/>
  <c r="AC1099" i="1"/>
  <c r="AD1099" i="1"/>
  <c r="AE1099" i="1"/>
  <c r="AC1098" i="1"/>
  <c r="AD1098" i="1"/>
  <c r="AE1098" i="1"/>
  <c r="AC1097" i="1"/>
  <c r="AD1097" i="1"/>
  <c r="AE1097" i="1"/>
  <c r="AC1096" i="1"/>
  <c r="AD1096" i="1"/>
  <c r="AE1096" i="1"/>
  <c r="AC1095" i="1"/>
  <c r="AD1095" i="1"/>
  <c r="AE1095" i="1"/>
  <c r="AC1094" i="1"/>
  <c r="AD1094" i="1"/>
  <c r="AE1094" i="1"/>
  <c r="AC1093" i="1"/>
  <c r="AD1093" i="1"/>
  <c r="AE1093" i="1"/>
  <c r="AC1092" i="1"/>
  <c r="AD1092" i="1"/>
  <c r="AE1092" i="1"/>
  <c r="AC1091" i="1"/>
  <c r="AD1091" i="1"/>
  <c r="AE1091" i="1"/>
  <c r="AC1090" i="1"/>
  <c r="AD1090" i="1"/>
  <c r="AE1090" i="1"/>
  <c r="AC1089" i="1"/>
  <c r="AD1089" i="1"/>
  <c r="AE1089" i="1"/>
  <c r="AC1088" i="1"/>
  <c r="AD1088" i="1"/>
  <c r="AE1088" i="1"/>
  <c r="AC1087" i="1"/>
  <c r="AD1087" i="1"/>
  <c r="AE1087" i="1"/>
  <c r="AC1086" i="1"/>
  <c r="AD1086" i="1"/>
  <c r="AE1086" i="1"/>
  <c r="AC1085" i="1"/>
  <c r="AD1085" i="1"/>
  <c r="AE1085" i="1"/>
  <c r="AC1084" i="1"/>
  <c r="AD1084" i="1"/>
  <c r="AE1084" i="1"/>
  <c r="AC1083" i="1"/>
  <c r="AD1083" i="1"/>
  <c r="AE1083" i="1"/>
  <c r="AC1082" i="1"/>
  <c r="AD1082" i="1"/>
  <c r="AE1082" i="1"/>
  <c r="AC1081" i="1"/>
  <c r="AD1081" i="1"/>
  <c r="AE1081" i="1"/>
  <c r="AC1080" i="1"/>
  <c r="AD1080" i="1"/>
  <c r="AE1080" i="1"/>
  <c r="AC1079" i="1"/>
  <c r="AD1079" i="1"/>
  <c r="AE1079" i="1"/>
  <c r="AC1078" i="1"/>
  <c r="AD1078" i="1"/>
  <c r="AE1078" i="1"/>
  <c r="AC1077" i="1"/>
  <c r="AD1077" i="1"/>
  <c r="AE1077" i="1"/>
  <c r="AC1076" i="1"/>
  <c r="AD1076" i="1"/>
  <c r="AE1076" i="1"/>
  <c r="AC1075" i="1"/>
  <c r="AD1075" i="1"/>
  <c r="AE1075" i="1"/>
  <c r="AC1074" i="1"/>
  <c r="AD1074" i="1"/>
  <c r="AE1074" i="1"/>
  <c r="AC1073" i="1"/>
  <c r="AD1073" i="1"/>
  <c r="AE1073" i="1"/>
  <c r="AC1072" i="1"/>
  <c r="AD1072" i="1"/>
  <c r="AE1072" i="1"/>
  <c r="AC1071" i="1"/>
  <c r="AD1071" i="1"/>
  <c r="AE1071" i="1"/>
  <c r="AC1070" i="1"/>
  <c r="AD1070" i="1"/>
  <c r="AE1070" i="1"/>
  <c r="AC1069" i="1"/>
  <c r="AD1069" i="1"/>
  <c r="AE1069" i="1"/>
  <c r="AC1068" i="1"/>
  <c r="AD1068" i="1"/>
  <c r="AE1068" i="1"/>
  <c r="AC1067" i="1"/>
  <c r="AD1067" i="1"/>
  <c r="AE1067" i="1"/>
  <c r="AC1066" i="1"/>
  <c r="AD1066" i="1"/>
  <c r="AE1066" i="1"/>
  <c r="AC1065" i="1"/>
  <c r="AD1065" i="1"/>
  <c r="AE1065" i="1"/>
  <c r="AC1064" i="1"/>
  <c r="AD1064" i="1"/>
  <c r="AE1064" i="1"/>
  <c r="AC1063" i="1"/>
  <c r="AD1063" i="1"/>
  <c r="AE1063" i="1"/>
  <c r="AC1062" i="1"/>
  <c r="AD1062" i="1"/>
  <c r="AE1062" i="1"/>
  <c r="AC1061" i="1"/>
  <c r="AD1061" i="1"/>
  <c r="AE1061" i="1"/>
  <c r="AC1060" i="1"/>
  <c r="AD1060" i="1"/>
  <c r="AE1060" i="1"/>
  <c r="AC1059" i="1"/>
  <c r="AD1059" i="1"/>
  <c r="AE1059" i="1"/>
  <c r="AC1058" i="1"/>
  <c r="AD1058" i="1"/>
  <c r="AE1058" i="1"/>
  <c r="AC1057" i="1"/>
  <c r="AD1057" i="1"/>
  <c r="AE1057" i="1"/>
  <c r="AC1056" i="1"/>
  <c r="AD1056" i="1"/>
  <c r="AE1056" i="1"/>
  <c r="AC1055" i="1"/>
  <c r="AD1055" i="1"/>
  <c r="AE1055" i="1"/>
  <c r="AC1054" i="1"/>
  <c r="AD1054" i="1"/>
  <c r="AE1054" i="1"/>
  <c r="AC1053" i="1"/>
  <c r="AD1053" i="1"/>
  <c r="AE1053" i="1"/>
  <c r="AC1052" i="1"/>
  <c r="AD1052" i="1"/>
  <c r="AE1052" i="1"/>
  <c r="AC1051" i="1"/>
  <c r="AD1051" i="1"/>
  <c r="AE1051" i="1"/>
  <c r="AC1050" i="1"/>
  <c r="AD1050" i="1"/>
  <c r="AE1050" i="1"/>
  <c r="AC1049" i="1"/>
  <c r="AD1049" i="1"/>
  <c r="AE1049" i="1"/>
  <c r="AC1048" i="1"/>
  <c r="AD1048" i="1"/>
  <c r="AE1048" i="1"/>
  <c r="AC1047" i="1"/>
  <c r="AD1047" i="1"/>
  <c r="AE1047" i="1"/>
  <c r="AC1046" i="1"/>
  <c r="AD1046" i="1"/>
  <c r="AE1046" i="1"/>
  <c r="AC1045" i="1"/>
  <c r="AD1045" i="1"/>
  <c r="AE1045" i="1"/>
  <c r="AC1044" i="1"/>
  <c r="AD1044" i="1"/>
  <c r="AE1044" i="1"/>
  <c r="AC1043" i="1"/>
  <c r="AD1043" i="1"/>
  <c r="AE1043" i="1"/>
  <c r="AC1042" i="1"/>
  <c r="AD1042" i="1"/>
  <c r="AE1042" i="1"/>
  <c r="AC1041" i="1"/>
  <c r="AD1041" i="1"/>
  <c r="AE1041" i="1"/>
  <c r="AC1040" i="1"/>
  <c r="AD1040" i="1"/>
  <c r="AE1040" i="1"/>
  <c r="AC1039" i="1"/>
  <c r="AD1039" i="1"/>
  <c r="AE1039" i="1"/>
  <c r="AC1038" i="1"/>
  <c r="AD1038" i="1"/>
  <c r="AE1038" i="1"/>
  <c r="AC1037" i="1"/>
  <c r="AD1037" i="1"/>
  <c r="AE1037" i="1"/>
  <c r="AC1036" i="1"/>
  <c r="AD1036" i="1"/>
  <c r="AE1036" i="1"/>
  <c r="AC1035" i="1"/>
  <c r="AD1035" i="1"/>
  <c r="AE1035" i="1"/>
  <c r="AC1034" i="1"/>
  <c r="AD1034" i="1"/>
  <c r="AE1034" i="1"/>
  <c r="AC1033" i="1"/>
  <c r="AD1033" i="1"/>
  <c r="AE1033" i="1"/>
  <c r="AC1032" i="1"/>
  <c r="AD1032" i="1"/>
  <c r="AE1032" i="1"/>
  <c r="AC1031" i="1"/>
  <c r="AD1031" i="1"/>
  <c r="AE1031" i="1"/>
  <c r="AC1030" i="1"/>
  <c r="AD1030" i="1"/>
  <c r="AE1030" i="1"/>
  <c r="AC1029" i="1"/>
  <c r="AD1029" i="1"/>
  <c r="AE1029" i="1"/>
  <c r="AC1028" i="1"/>
  <c r="AD1028" i="1"/>
  <c r="AE1028" i="1"/>
  <c r="AC1027" i="1"/>
  <c r="AD1027" i="1"/>
  <c r="AE1027" i="1"/>
  <c r="AC1026" i="1"/>
  <c r="AE1026" i="1"/>
  <c r="AC1025" i="1"/>
  <c r="AD1025" i="1"/>
  <c r="AD1026" i="1" s="1"/>
  <c r="AE1025" i="1"/>
  <c r="AC1024" i="1"/>
  <c r="AD1024" i="1"/>
  <c r="AE1024" i="1"/>
  <c r="AC1023" i="1"/>
  <c r="AD1023" i="1"/>
  <c r="AE1023" i="1"/>
  <c r="AC1022" i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<sst xmlns="http://schemas.openxmlformats.org/spreadsheetml/2006/main" count="7135" uniqueCount="121">
  <si>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</si>
  <si>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</si>
  <si>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</si>
  <si>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</si>
  <si>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</si>
  <si>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</si>
  <si>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</si>
  <si>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</si>
  <si>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</si>
  <si>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</si>
  <si>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</si>
  <si>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</si>
  <si>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</si>
  <si>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</si>
  <si>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</si>
  <si>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</si>
  <si>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</si>
  <si>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</si>
  <si>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</si>
  <si>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</si>
  <si>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</si>
  <si>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</si>
  <si>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</si>
  <si>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</si>
  <si>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</si>
  <si>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</si>
  <si>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</si>
  <si>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</si>
  <si>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</si>
  <si>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</si>
  <si>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</si>
  <si>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</si>
  <si>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</si>
  <si>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</si>
  <si>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</si>
  <si>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</si>
  <si>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</si>
  <si>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</si>
  <si>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</si>
  <si>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</si>
  <si>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</si>
  <si>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</si>
  <si>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</si>
  <si>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</si>
  <si>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</si>
  <si>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</si>
  <si>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</si>
  <si>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</si>
  <si>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</si>
  <si>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</si>
  <si>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</si>
  <si>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</si>
  <si>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</si>
  <si>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</si>
  <si>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</si>
  <si>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</si>
  <si>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</si>
  <si>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</si>
  <si>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</si>
  <si>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</si>
  <si>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</si>
  <si>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</si>
  <si>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</si>
  <si>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</si>
  <si>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</si>
  <si>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</si>
  <si>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</si>
  <si>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</si>
  <si>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</si>
  <si>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</si>
  <si>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</si>
  <si>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</si>
  <si>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</si>
  <si>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</si>
  <si>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</si>
  <si>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</si>
  <si>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</si>
  <si>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</si>
  <si>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</si>
  <si>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</si>
  <si>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</si>
  <si>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</si>
  <si>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</si>
  <si>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</si>
  <si>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</si>
  <si>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</si>
  <si>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</si>
  <si>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</si>
  <si>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</si>
  <si>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</si>
  <si>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</si>
  <si>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</si>
  <si>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</si>
  <si>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</si>
  <si>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</si>
  <si>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</si>
  <si>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</si>
  <si>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</si>
  <si>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</si>
  <si>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</si>
  <si>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</si>
  <si>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</si>
  <si>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</si>
  <si>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</si>
  <si>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</si>
  <si>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</si>
  <si>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</si>
  <si>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</si>
  <si>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</si>
  <si>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</si>
  <si>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</si>
  <si>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</si>
  <si>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</si>
  <si>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</si>
  <si>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</si>
  <si>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</si>
  <si>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</si>
  <si>
    <t>BC-&gt;S</t>
  </si>
  <si>
    <t>FIrst</t>
  </si>
  <si>
    <t>Season Five. -Overpass +Cache</t>
  </si>
  <si>
    <t>Cache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</si>
</sst>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50" totalsRowShown="0">
  <autoFilter ref="A1:AI1150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50"/>
  <sheetViews>
    <sheetView tabSelected="1" topLeftCell="F1" zoomScaleNormal="100" workbookViewId="0">
      <pane ySplit="1" topLeftCell="A1134" activePane="bottomLeft" state="frozen"/>
      <selection pane="bottomLeft" activeCell="AH1151" sqref="AH1151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117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ref="AC1030:AC1035" si="126">IF(C1030=C1029, AC1029+1, 1)</f>
        <v>1</v>
      </c>
      <c r="AD1030">
        <f t="shared" ref="AD1030:AD1035" si="127">IF(T1030="Loss",AD1029+1,0)</f>
        <v>0</v>
      </c>
      <c r="AE1030">
        <f t="shared" ref="AE1030:AE1035" si="128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26"/>
        <v>2</v>
      </c>
      <c r="AD1031">
        <f t="shared" si="127"/>
        <v>1</v>
      </c>
      <c r="AE1031">
        <f t="shared" si="128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26"/>
        <v>3</v>
      </c>
      <c r="AD1032">
        <f t="shared" si="127"/>
        <v>2</v>
      </c>
      <c r="AE1032">
        <f t="shared" si="128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26"/>
        <v>1</v>
      </c>
      <c r="AD1033">
        <f t="shared" si="127"/>
        <v>0</v>
      </c>
      <c r="AE1033">
        <f t="shared" si="128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26"/>
        <v>2</v>
      </c>
      <c r="AD1034">
        <f t="shared" si="127"/>
        <v>0</v>
      </c>
      <c r="AE1034">
        <f t="shared" si="128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26"/>
        <v>3</v>
      </c>
      <c r="AD1035">
        <f t="shared" si="127"/>
        <v>0</v>
      </c>
      <c r="AE1035">
        <f t="shared" si="128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ref="AC1036:AC1041" si="129">IF(C1036=C1035, AC1035+1, 1)</f>
        <v>1</v>
      </c>
      <c r="AD1036">
        <f t="shared" ref="AD1036:AD1041" si="130">IF(T1036="Loss",AD1035+1,0)</f>
        <v>1</v>
      </c>
      <c r="AE1036">
        <f t="shared" ref="AE1036:AE1041" si="131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29"/>
        <v>1</v>
      </c>
      <c r="AD1037">
        <f t="shared" si="130"/>
        <v>2</v>
      </c>
      <c r="AE1037">
        <f t="shared" si="131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29"/>
        <v>2</v>
      </c>
      <c r="AD1038">
        <f t="shared" si="130"/>
        <v>0</v>
      </c>
      <c r="AE1038">
        <f t="shared" si="131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29"/>
        <v>3</v>
      </c>
      <c r="AD1039">
        <f t="shared" si="130"/>
        <v>1</v>
      </c>
      <c r="AE1039">
        <f t="shared" si="131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29"/>
        <v>1</v>
      </c>
      <c r="AD1040">
        <f t="shared" si="130"/>
        <v>2</v>
      </c>
      <c r="AE1040">
        <f t="shared" si="131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29"/>
        <v>1</v>
      </c>
      <c r="AD1041">
        <f t="shared" si="130"/>
        <v>0</v>
      </c>
      <c r="AE1041">
        <f t="shared" si="131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ref="AC1042:AC1049" si="132">IF(C1042=C1041, AC1041+1, 1)</f>
        <v>1</v>
      </c>
      <c r="AD1042">
        <f t="shared" ref="AD1042:AD1049" si="133">IF(T1042="Loss",AD1041+1,0)</f>
        <v>1</v>
      </c>
      <c r="AE1042">
        <f t="shared" ref="AE1042:AE1049" si="134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32"/>
        <v>1</v>
      </c>
      <c r="AD1043">
        <f t="shared" si="133"/>
        <v>2</v>
      </c>
      <c r="AE1043">
        <f t="shared" si="134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32"/>
        <v>2</v>
      </c>
      <c r="AD1044">
        <f t="shared" si="133"/>
        <v>0</v>
      </c>
      <c r="AE1044">
        <f t="shared" si="134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32"/>
        <v>1</v>
      </c>
      <c r="AD1045">
        <f t="shared" si="133"/>
        <v>0</v>
      </c>
      <c r="AE1045">
        <f t="shared" si="134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32"/>
        <v>2</v>
      </c>
      <c r="AD1046">
        <f t="shared" si="133"/>
        <v>0</v>
      </c>
      <c r="AE1046">
        <f t="shared" si="134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32"/>
        <v>1</v>
      </c>
      <c r="AD1047">
        <f t="shared" si="133"/>
        <v>0</v>
      </c>
      <c r="AE1047">
        <f t="shared" si="134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32"/>
        <v>2</v>
      </c>
      <c r="AD1048">
        <f t="shared" si="133"/>
        <v>1</v>
      </c>
      <c r="AE1048">
        <f t="shared" si="134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32"/>
        <v>3</v>
      </c>
      <c r="AD1049">
        <f t="shared" si="133"/>
        <v>0</v>
      </c>
      <c r="AE1049">
        <f t="shared" si="134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ref="AC1050:AC1056" si="135">IF(C1050=C1049, AC1049+1, 1)</f>
        <v>1</v>
      </c>
      <c r="AD1050">
        <f t="shared" ref="AD1050:AD1056" si="136">IF(T1050="Loss",AD1049+1,0)</f>
        <v>0</v>
      </c>
      <c r="AE1050">
        <f t="shared" ref="AE1050:AE1056" si="137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35"/>
        <v>2</v>
      </c>
      <c r="AD1051">
        <f t="shared" si="136"/>
        <v>1</v>
      </c>
      <c r="AE1051">
        <f t="shared" si="137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35"/>
        <v>1</v>
      </c>
      <c r="AD1052">
        <f t="shared" si="136"/>
        <v>2</v>
      </c>
      <c r="AE1052">
        <f t="shared" si="137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35"/>
        <v>2</v>
      </c>
      <c r="AD1053">
        <f t="shared" si="136"/>
        <v>0</v>
      </c>
      <c r="AE1053">
        <f t="shared" si="137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35"/>
        <v>1</v>
      </c>
      <c r="AD1054">
        <f t="shared" si="136"/>
        <v>1</v>
      </c>
      <c r="AE1054">
        <f t="shared" si="137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35"/>
        <v>1</v>
      </c>
      <c r="AD1055">
        <f t="shared" si="136"/>
        <v>2</v>
      </c>
      <c r="AE1055">
        <f t="shared" si="137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35"/>
        <v>2</v>
      </c>
      <c r="AD1056">
        <f t="shared" si="136"/>
        <v>3</v>
      </c>
      <c r="AE1056">
        <f t="shared" si="137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ref="AC1057:AC1062" si="138">IF(C1057=C1056, AC1056+1, 1)</f>
        <v>1</v>
      </c>
      <c r="AD1057">
        <f t="shared" ref="AD1057:AD1062" si="139">IF(T1057="Loss",AD1056+1,0)</f>
        <v>0</v>
      </c>
      <c r="AE1057">
        <f t="shared" ref="AE1057:AE1062" si="140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38"/>
        <v>2</v>
      </c>
      <c r="AD1058">
        <f t="shared" si="139"/>
        <v>0</v>
      </c>
      <c r="AE1058">
        <f t="shared" si="140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38"/>
        <v>3</v>
      </c>
      <c r="AD1059">
        <f t="shared" si="139"/>
        <v>0</v>
      </c>
      <c r="AE1059">
        <f t="shared" si="140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38"/>
        <v>4</v>
      </c>
      <c r="AD1060">
        <f t="shared" si="139"/>
        <v>0</v>
      </c>
      <c r="AE1060">
        <f t="shared" si="140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38"/>
        <v>1</v>
      </c>
      <c r="AD1061">
        <f t="shared" si="139"/>
        <v>0</v>
      </c>
      <c r="AE1061">
        <f t="shared" si="140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38"/>
        <v>1</v>
      </c>
      <c r="AD1062">
        <f t="shared" si="139"/>
        <v>0</v>
      </c>
      <c r="AE1062">
        <f t="shared" si="140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ref="AC1063:AC1069" si="141">IF(C1063=C1062, AC1062+1, 1)</f>
        <v>1</v>
      </c>
      <c r="AD1063">
        <f t="shared" ref="AD1063:AD1069" si="142">IF(T1063="Loss",AD1062+1,0)</f>
        <v>0</v>
      </c>
      <c r="AE1063">
        <f t="shared" ref="AE1063:AE1069" si="143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41"/>
        <v>1</v>
      </c>
      <c r="AD1064">
        <f t="shared" si="142"/>
        <v>1</v>
      </c>
      <c r="AE1064">
        <f t="shared" si="143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41"/>
        <v>1</v>
      </c>
      <c r="AD1065">
        <f t="shared" si="142"/>
        <v>2</v>
      </c>
      <c r="AE1065">
        <f t="shared" si="143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41"/>
        <v>2</v>
      </c>
      <c r="AD1066">
        <f t="shared" si="142"/>
        <v>3</v>
      </c>
      <c r="AE1066">
        <f t="shared" si="143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41"/>
        <v>3</v>
      </c>
      <c r="AD1067">
        <f t="shared" si="142"/>
        <v>0</v>
      </c>
      <c r="AE1067">
        <f t="shared" si="143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41"/>
        <v>4</v>
      </c>
      <c r="AD1068">
        <f t="shared" si="142"/>
        <v>1</v>
      </c>
      <c r="AE1068">
        <f t="shared" si="143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41"/>
        <v>1</v>
      </c>
      <c r="AD1069">
        <f t="shared" si="142"/>
        <v>0</v>
      </c>
      <c r="AE1069">
        <f t="shared" si="143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ref="AC1070:AC1075" si="144">IF(C1070=C1069, AC1069+1, 1)</f>
        <v>1</v>
      </c>
      <c r="AD1070">
        <f t="shared" ref="AD1070:AD1075" si="145">IF(T1070="Loss",AD1069+1,0)</f>
        <v>1</v>
      </c>
      <c r="AE1070">
        <f t="shared" ref="AE1070:AE1075" si="14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44"/>
        <v>1</v>
      </c>
      <c r="AD1071">
        <f t="shared" si="145"/>
        <v>0</v>
      </c>
      <c r="AE1071">
        <f t="shared" si="14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44"/>
        <v>2</v>
      </c>
      <c r="AD1072">
        <f t="shared" si="145"/>
        <v>1</v>
      </c>
      <c r="AE1072">
        <f t="shared" si="14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44"/>
        <v>3</v>
      </c>
      <c r="AD1073">
        <f t="shared" si="145"/>
        <v>0</v>
      </c>
      <c r="AE1073">
        <f t="shared" si="14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44"/>
        <v>4</v>
      </c>
      <c r="AD1074">
        <f t="shared" si="145"/>
        <v>0</v>
      </c>
      <c r="AE1074">
        <f t="shared" si="14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44"/>
        <v>5</v>
      </c>
      <c r="AD1075">
        <f t="shared" si="145"/>
        <v>1</v>
      </c>
      <c r="AE1075">
        <f t="shared" si="14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ref="AC1076:AC1081" si="147">IF(C1076=C1075, AC1075+1, 1)</f>
        <v>6</v>
      </c>
      <c r="AD1076">
        <f t="shared" ref="AD1076:AD1081" si="148">IF(T1076="Loss",AD1075+1,0)</f>
        <v>0</v>
      </c>
      <c r="AE1076">
        <f t="shared" ref="AE1076:AE1081" si="149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47"/>
        <v>1</v>
      </c>
      <c r="AD1077">
        <f t="shared" si="148"/>
        <v>1</v>
      </c>
      <c r="AE1077">
        <f t="shared" si="149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47"/>
        <v>2</v>
      </c>
      <c r="AD1078">
        <f t="shared" si="148"/>
        <v>0</v>
      </c>
      <c r="AE1078">
        <f t="shared" si="149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47"/>
        <v>3</v>
      </c>
      <c r="AD1079">
        <f t="shared" si="148"/>
        <v>0</v>
      </c>
      <c r="AE1079">
        <f t="shared" si="149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47"/>
        <v>4</v>
      </c>
      <c r="AD1080">
        <f t="shared" si="148"/>
        <v>0</v>
      </c>
      <c r="AE1080">
        <f t="shared" si="149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47"/>
        <v>5</v>
      </c>
      <c r="AD1081">
        <f t="shared" si="148"/>
        <v>0</v>
      </c>
      <c r="AE1081">
        <f t="shared" si="149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ref="AC1082:AC1087" si="150">IF(C1082=C1081, AC1081+1, 1)</f>
        <v>1</v>
      </c>
      <c r="AD1082">
        <f t="shared" ref="AD1082:AD1087" si="151">IF(T1082="Loss",AD1081+1,0)</f>
        <v>0</v>
      </c>
      <c r="AE1082">
        <f t="shared" ref="AE1082:AE1087" si="152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50"/>
        <v>1</v>
      </c>
      <c r="AD1083">
        <f t="shared" si="151"/>
        <v>1</v>
      </c>
      <c r="AE1083">
        <f t="shared" si="152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50"/>
        <v>2</v>
      </c>
      <c r="AD1084">
        <f t="shared" si="151"/>
        <v>2</v>
      </c>
      <c r="AE1084">
        <f t="shared" si="152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50"/>
        <v>3</v>
      </c>
      <c r="AD1085">
        <f t="shared" si="151"/>
        <v>3</v>
      </c>
      <c r="AE1085">
        <f t="shared" si="152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50"/>
        <v>1</v>
      </c>
      <c r="AD1086">
        <f t="shared" si="151"/>
        <v>4</v>
      </c>
      <c r="AE1086">
        <f t="shared" si="152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50"/>
        <v>2</v>
      </c>
      <c r="AD1087">
        <f t="shared" si="151"/>
        <v>5</v>
      </c>
      <c r="AE1087">
        <f t="shared" si="152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ref="AC1088:AC1094" si="153">IF(C1088=C1087, AC1087+1, 1)</f>
        <v>3</v>
      </c>
      <c r="AD1088">
        <f t="shared" ref="AD1088:AD1094" si="154">IF(T1088="Loss",AD1087+1,0)</f>
        <v>6</v>
      </c>
      <c r="AE1088">
        <f t="shared" ref="AE1088:AE1094" si="155">IF(T1088="Win", AE1087+1, 0)</f>
        <v>0</v>
      </c>
    </row>
    <row r="1089" spans="1:31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53"/>
        <v>4</v>
      </c>
      <c r="AD1089">
        <f t="shared" si="154"/>
        <v>7</v>
      </c>
      <c r="AE1089">
        <f t="shared" si="155"/>
        <v>0</v>
      </c>
    </row>
    <row r="1090" spans="1:31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si="153"/>
        <v>1</v>
      </c>
      <c r="AD1090">
        <f t="shared" si="154"/>
        <v>0</v>
      </c>
      <c r="AE1090">
        <f t="shared" si="155"/>
        <v>1</v>
      </c>
    </row>
    <row r="1091" spans="1:31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53"/>
        <v>2</v>
      </c>
      <c r="AD1091">
        <f t="shared" si="154"/>
        <v>1</v>
      </c>
      <c r="AE1091">
        <f t="shared" si="155"/>
        <v>0</v>
      </c>
    </row>
    <row r="1092" spans="1:31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53"/>
        <v>3</v>
      </c>
      <c r="AD1092">
        <f t="shared" si="154"/>
        <v>2</v>
      </c>
      <c r="AE1092">
        <f t="shared" si="155"/>
        <v>0</v>
      </c>
    </row>
    <row r="1093" spans="1:31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53"/>
        <v>4</v>
      </c>
      <c r="AD1093">
        <f t="shared" si="154"/>
        <v>3</v>
      </c>
      <c r="AE1093">
        <f t="shared" si="155"/>
        <v>0</v>
      </c>
    </row>
    <row r="1094" spans="1:31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53"/>
        <v>5</v>
      </c>
      <c r="AD1094">
        <f t="shared" si="154"/>
        <v>4</v>
      </c>
      <c r="AE1094">
        <f t="shared" si="155"/>
        <v>0</v>
      </c>
    </row>
    <row r="1095" spans="1:31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ref="AC1095:AC1100" si="156">IF(C1095=C1094, AC1094+1, 1)</f>
        <v>6</v>
      </c>
      <c r="AD1095">
        <f t="shared" ref="AD1095:AD1100" si="157">IF(T1095="Loss",AD1094+1,0)</f>
        <v>0</v>
      </c>
      <c r="AE1095">
        <f t="shared" ref="AE1095:AE1100" si="158">IF(T1095="Win", AE1094+1, 0)</f>
        <v>1</v>
      </c>
    </row>
    <row r="1096" spans="1:31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56"/>
        <v>1</v>
      </c>
      <c r="AD1096">
        <f t="shared" si="157"/>
        <v>1</v>
      </c>
      <c r="AE1096">
        <f t="shared" si="158"/>
        <v>0</v>
      </c>
    </row>
    <row r="1097" spans="1:31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56"/>
        <v>2</v>
      </c>
      <c r="AD1097">
        <f t="shared" si="157"/>
        <v>0</v>
      </c>
      <c r="AE1097">
        <f t="shared" si="158"/>
        <v>1</v>
      </c>
    </row>
    <row r="1098" spans="1:31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56"/>
        <v>3</v>
      </c>
      <c r="AD1098">
        <f t="shared" si="157"/>
        <v>0</v>
      </c>
      <c r="AE1098">
        <f t="shared" si="158"/>
        <v>2</v>
      </c>
    </row>
    <row r="1099" spans="1:31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56"/>
        <v>4</v>
      </c>
      <c r="AD1099">
        <f t="shared" si="157"/>
        <v>1</v>
      </c>
      <c r="AE1099">
        <f t="shared" si="158"/>
        <v>0</v>
      </c>
    </row>
    <row r="1100" spans="1:31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56"/>
        <v>5</v>
      </c>
      <c r="AD1100">
        <f t="shared" si="157"/>
        <v>2</v>
      </c>
      <c r="AE1100">
        <f t="shared" si="158"/>
        <v>0</v>
      </c>
    </row>
    <row r="1101" spans="1:31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 t="shared" ref="AC1101:AC1106" si="159">IF(C1101=C1100, AC1100+1, 1)</f>
        <v>1</v>
      </c>
      <c r="AD1101">
        <f t="shared" ref="AD1101:AD1106" si="160">IF(T1101="Loss",AD1100+1,0)</f>
        <v>0</v>
      </c>
      <c r="AE1101">
        <f t="shared" ref="AE1101:AE1106" si="161">IF(T1101="Win", AE1100+1, 0)</f>
        <v>1</v>
      </c>
    </row>
    <row r="1102" spans="1:31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 t="shared" si="159"/>
        <v>2</v>
      </c>
      <c r="AD1102">
        <f t="shared" si="160"/>
        <v>1</v>
      </c>
      <c r="AE1102">
        <f t="shared" si="161"/>
        <v>0</v>
      </c>
    </row>
    <row r="1103" spans="1:31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 t="shared" si="159"/>
        <v>1</v>
      </c>
      <c r="AD1103">
        <f t="shared" si="160"/>
        <v>0</v>
      </c>
      <c r="AE1103">
        <f t="shared" si="161"/>
        <v>1</v>
      </c>
    </row>
    <row r="1104" spans="1:31" x14ac:dyDescent="0.25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>
        <f t="shared" si="159"/>
        <v>1</v>
      </c>
      <c r="AD1104">
        <f t="shared" si="160"/>
        <v>1</v>
      </c>
      <c r="AE1104">
        <f t="shared" si="161"/>
        <v>0</v>
      </c>
    </row>
    <row r="1105" spans="1:35" x14ac:dyDescent="0.25">
      <c r="A1105">
        <v>1104</v>
      </c>
      <c r="B1105">
        <v>1</v>
      </c>
      <c r="C1105" s="1">
        <v>46182</v>
      </c>
      <c r="D1105" s="2">
        <v>0.75763888888888886</v>
      </c>
      <c r="E1105" s="2">
        <v>0.75763888888888886</v>
      </c>
      <c r="F1105" t="s">
        <v>50</v>
      </c>
      <c r="G1105" t="s">
        <v>97</v>
      </c>
      <c r="H1105" t="s">
        <v>60</v>
      </c>
      <c r="I1105" t="s">
        <v>52</v>
      </c>
      <c r="J1105" t="s">
        <v>53</v>
      </c>
      <c r="K1105">
        <v>4</v>
      </c>
      <c r="L1105">
        <v>1</v>
      </c>
      <c r="M1105">
        <v>5</v>
      </c>
      <c r="N1105">
        <v>8</v>
      </c>
      <c r="O1105">
        <v>4</v>
      </c>
      <c r="P1105">
        <v>9</v>
      </c>
      <c r="Q1105">
        <v>1523</v>
      </c>
      <c r="R1105">
        <v>80</v>
      </c>
      <c r="S1105">
        <v>41</v>
      </c>
      <c r="T1105" t="s">
        <v>58</v>
      </c>
      <c r="U1105" t="s">
        <v>108</v>
      </c>
      <c r="V1105">
        <v>1</v>
      </c>
      <c r="AC1105">
        <f t="shared" si="159"/>
        <v>1</v>
      </c>
      <c r="AD1105">
        <f t="shared" si="160"/>
        <v>2</v>
      </c>
      <c r="AE1105">
        <f t="shared" si="161"/>
        <v>0</v>
      </c>
      <c r="AF1105">
        <v>-5.37</v>
      </c>
      <c r="AG1105">
        <v>43</v>
      </c>
      <c r="AH1105">
        <v>90</v>
      </c>
      <c r="AI1105">
        <v>48</v>
      </c>
    </row>
    <row r="1106" spans="1:35" x14ac:dyDescent="0.25">
      <c r="A1106">
        <v>1105</v>
      </c>
      <c r="B1106">
        <v>1</v>
      </c>
      <c r="C1106" s="1">
        <v>46182</v>
      </c>
      <c r="D1106" s="2">
        <v>0.78194444444444444</v>
      </c>
      <c r="E1106" s="2">
        <v>0.78194444444444444</v>
      </c>
      <c r="F1106" t="s">
        <v>50</v>
      </c>
      <c r="G1106" t="s">
        <v>96</v>
      </c>
      <c r="H1106" t="s">
        <v>54</v>
      </c>
      <c r="I1106" t="s">
        <v>55</v>
      </c>
      <c r="J1106" t="s">
        <v>53</v>
      </c>
      <c r="K1106">
        <v>0</v>
      </c>
      <c r="L1106">
        <v>2</v>
      </c>
      <c r="M1106">
        <v>4</v>
      </c>
      <c r="N1106">
        <v>7</v>
      </c>
      <c r="O1106">
        <v>3</v>
      </c>
      <c r="P1106">
        <v>10</v>
      </c>
      <c r="Q1106">
        <v>1057</v>
      </c>
      <c r="R1106">
        <v>66</v>
      </c>
      <c r="S1106">
        <v>14</v>
      </c>
      <c r="T1106" t="s">
        <v>58</v>
      </c>
      <c r="U1106" t="s">
        <v>108</v>
      </c>
      <c r="V1106">
        <v>1</v>
      </c>
      <c r="AC1106">
        <f t="shared" si="159"/>
        <v>2</v>
      </c>
      <c r="AD1106">
        <f t="shared" si="160"/>
        <v>3</v>
      </c>
      <c r="AE1106">
        <f t="shared" si="161"/>
        <v>0</v>
      </c>
      <c r="AF1106">
        <v>-7.43</v>
      </c>
      <c r="AG1106">
        <v>18</v>
      </c>
      <c r="AH1106">
        <v>87</v>
      </c>
      <c r="AI1106">
        <v>68</v>
      </c>
    </row>
    <row r="1107" spans="1:35" x14ac:dyDescent="0.25">
      <c r="A1107">
        <v>1106</v>
      </c>
      <c r="B1107">
        <v>1</v>
      </c>
      <c r="C1107" s="1">
        <v>46182</v>
      </c>
      <c r="D1107" s="2">
        <v>0.82430555555555551</v>
      </c>
      <c r="E1107" s="2">
        <v>0.82430555555555551</v>
      </c>
      <c r="F1107" t="s">
        <v>50</v>
      </c>
      <c r="G1107" t="s">
        <v>101</v>
      </c>
      <c r="H1107" t="s">
        <v>60</v>
      </c>
      <c r="I1107" t="s">
        <v>104</v>
      </c>
      <c r="J1107" t="s">
        <v>53</v>
      </c>
      <c r="K1107">
        <v>3</v>
      </c>
      <c r="L1107">
        <v>1</v>
      </c>
      <c r="M1107">
        <v>4</v>
      </c>
      <c r="N1107">
        <v>10</v>
      </c>
      <c r="O1107">
        <v>1</v>
      </c>
      <c r="P1107">
        <v>5</v>
      </c>
      <c r="Q1107">
        <v>1150</v>
      </c>
      <c r="R1107">
        <v>63</v>
      </c>
      <c r="S1107">
        <v>46</v>
      </c>
      <c r="T1107" t="s">
        <v>63</v>
      </c>
      <c r="U1107" t="s">
        <v>108</v>
      </c>
      <c r="V1107">
        <v>1</v>
      </c>
      <c r="AC1107">
        <f t="shared" ref="AC1107:AC1111" si="162">IF(C1107=C1106, AC1106+1, 1)</f>
        <v>3</v>
      </c>
      <c r="AD1107">
        <f t="shared" ref="AD1107:AD1111" si="163">IF(T1107="Loss",AD1106+1,0)</f>
        <v>0</v>
      </c>
      <c r="AE1107">
        <f t="shared" ref="AE1107:AE1111" si="164">IF(T1107="Win", AE1106+1, 0)</f>
        <v>1</v>
      </c>
    </row>
    <row r="1108" spans="1:35" x14ac:dyDescent="0.25">
      <c r="A1108">
        <v>1107</v>
      </c>
      <c r="B1108">
        <v>2</v>
      </c>
      <c r="C1108" s="1">
        <v>46184</v>
      </c>
      <c r="D1108" s="2">
        <v>0.79097222222222219</v>
      </c>
      <c r="E1108" s="2">
        <v>0.79097222222222219</v>
      </c>
      <c r="F1108" t="s">
        <v>50</v>
      </c>
      <c r="G1108" t="s">
        <v>96</v>
      </c>
      <c r="H1108" t="s">
        <v>54</v>
      </c>
      <c r="I1108" t="s">
        <v>61</v>
      </c>
      <c r="J1108" t="s">
        <v>53</v>
      </c>
      <c r="K1108">
        <v>12</v>
      </c>
      <c r="L1108">
        <v>5</v>
      </c>
      <c r="M1108">
        <v>7</v>
      </c>
      <c r="N1108">
        <v>8</v>
      </c>
      <c r="O1108">
        <v>1</v>
      </c>
      <c r="P1108">
        <v>9</v>
      </c>
      <c r="Q1108">
        <v>2073</v>
      </c>
      <c r="R1108">
        <v>94</v>
      </c>
      <c r="S1108">
        <v>25</v>
      </c>
      <c r="T1108" t="s">
        <v>63</v>
      </c>
      <c r="U1108">
        <v>11217</v>
      </c>
      <c r="V1108">
        <v>2</v>
      </c>
      <c r="AC1108">
        <f t="shared" si="162"/>
        <v>1</v>
      </c>
      <c r="AD1108">
        <f t="shared" si="163"/>
        <v>0</v>
      </c>
      <c r="AE1108">
        <f t="shared" si="164"/>
        <v>2</v>
      </c>
    </row>
    <row r="1109" spans="1:35" x14ac:dyDescent="0.25">
      <c r="A1109">
        <v>1108</v>
      </c>
      <c r="B1109">
        <v>2</v>
      </c>
      <c r="C1109" s="1">
        <v>46184</v>
      </c>
      <c r="D1109" s="2">
        <v>0.81944444444444442</v>
      </c>
      <c r="E1109" s="2">
        <v>0.81944444444444442</v>
      </c>
      <c r="F1109" t="s">
        <v>50</v>
      </c>
      <c r="G1109" t="s">
        <v>96</v>
      </c>
      <c r="H1109" t="s">
        <v>60</v>
      </c>
      <c r="I1109" t="s">
        <v>52</v>
      </c>
      <c r="J1109" t="s">
        <v>53</v>
      </c>
      <c r="K1109">
        <v>7</v>
      </c>
      <c r="L1109">
        <v>0</v>
      </c>
      <c r="M1109">
        <v>3</v>
      </c>
      <c r="N1109">
        <v>10</v>
      </c>
      <c r="O1109">
        <v>5</v>
      </c>
      <c r="P1109">
        <v>8</v>
      </c>
      <c r="Q1109">
        <v>1491</v>
      </c>
      <c r="R1109">
        <v>82</v>
      </c>
      <c r="S1109">
        <v>41</v>
      </c>
      <c r="T1109" t="s">
        <v>63</v>
      </c>
      <c r="U1109">
        <v>11580</v>
      </c>
      <c r="V1109">
        <v>2</v>
      </c>
      <c r="AC1109">
        <f t="shared" si="162"/>
        <v>2</v>
      </c>
      <c r="AD1109">
        <f t="shared" si="163"/>
        <v>0</v>
      </c>
      <c r="AE1109">
        <f t="shared" si="164"/>
        <v>3</v>
      </c>
    </row>
    <row r="1110" spans="1:35" x14ac:dyDescent="0.25">
      <c r="A1110">
        <v>1109</v>
      </c>
      <c r="B1110">
        <v>2</v>
      </c>
      <c r="C1110" s="1">
        <v>46186</v>
      </c>
      <c r="D1110" s="2">
        <v>0.67569444444444449</v>
      </c>
      <c r="E1110" s="2">
        <v>0.67569444444444449</v>
      </c>
      <c r="F1110" t="s">
        <v>50</v>
      </c>
      <c r="G1110" t="s">
        <v>96</v>
      </c>
      <c r="H1110" t="s">
        <v>60</v>
      </c>
      <c r="I1110" t="s">
        <v>87</v>
      </c>
      <c r="J1110" t="s">
        <v>53</v>
      </c>
      <c r="K1110">
        <v>7</v>
      </c>
      <c r="L1110">
        <v>7</v>
      </c>
      <c r="M1110">
        <v>8</v>
      </c>
      <c r="N1110">
        <v>9</v>
      </c>
      <c r="O1110">
        <v>3</v>
      </c>
      <c r="P1110">
        <v>9</v>
      </c>
      <c r="Q1110">
        <v>2116</v>
      </c>
      <c r="R1110">
        <v>96</v>
      </c>
      <c r="S1110">
        <v>43</v>
      </c>
      <c r="T1110" t="s">
        <v>58</v>
      </c>
      <c r="U1110">
        <v>11896</v>
      </c>
      <c r="V1110">
        <v>2</v>
      </c>
      <c r="AC1110">
        <f t="shared" si="162"/>
        <v>1</v>
      </c>
      <c r="AD1110">
        <f t="shared" si="163"/>
        <v>1</v>
      </c>
      <c r="AE1110">
        <f t="shared" si="164"/>
        <v>0</v>
      </c>
      <c r="AF1110">
        <v>-0.67</v>
      </c>
      <c r="AG1110">
        <v>43</v>
      </c>
      <c r="AH1110">
        <v>72</v>
      </c>
      <c r="AI1110">
        <v>48</v>
      </c>
    </row>
    <row r="1111" spans="1:35" x14ac:dyDescent="0.25">
      <c r="A1111">
        <v>1110</v>
      </c>
      <c r="B1111">
        <v>2</v>
      </c>
      <c r="C1111" s="1">
        <v>46186</v>
      </c>
      <c r="D1111" s="2">
        <v>0.70486111111111116</v>
      </c>
      <c r="E1111" s="2">
        <v>0.70486111111111116</v>
      </c>
      <c r="F1111" t="s">
        <v>50</v>
      </c>
      <c r="G1111" t="s">
        <v>96</v>
      </c>
      <c r="H1111" t="s">
        <v>54</v>
      </c>
      <c r="I1111" t="s">
        <v>87</v>
      </c>
      <c r="J1111" t="s">
        <v>53</v>
      </c>
      <c r="K1111">
        <v>13</v>
      </c>
      <c r="L1111">
        <v>4</v>
      </c>
      <c r="M1111">
        <v>8</v>
      </c>
      <c r="N1111">
        <v>12</v>
      </c>
      <c r="O1111">
        <v>5</v>
      </c>
      <c r="P1111">
        <v>8</v>
      </c>
      <c r="Q1111">
        <v>2622</v>
      </c>
      <c r="R1111">
        <v>114</v>
      </c>
      <c r="S1111">
        <v>52</v>
      </c>
      <c r="T1111" t="s">
        <v>63</v>
      </c>
      <c r="U1111">
        <v>11537</v>
      </c>
      <c r="V1111">
        <v>2</v>
      </c>
      <c r="AC1111">
        <f t="shared" si="162"/>
        <v>2</v>
      </c>
      <c r="AD1111">
        <f t="shared" si="163"/>
        <v>0</v>
      </c>
      <c r="AE1111">
        <f t="shared" si="164"/>
        <v>1</v>
      </c>
    </row>
    <row r="1112" spans="1:35" x14ac:dyDescent="0.25">
      <c r="A1112">
        <v>1111</v>
      </c>
      <c r="B1112">
        <v>2</v>
      </c>
      <c r="C1112" s="1">
        <v>46186</v>
      </c>
      <c r="D1112" s="2">
        <v>0.73611111111111116</v>
      </c>
      <c r="E1112" s="2">
        <v>0.73611111111111116</v>
      </c>
      <c r="F1112" t="s">
        <v>50</v>
      </c>
      <c r="G1112" t="s">
        <v>96</v>
      </c>
      <c r="H1112" t="s">
        <v>60</v>
      </c>
      <c r="I1112" t="s">
        <v>87</v>
      </c>
      <c r="J1112" t="s">
        <v>53</v>
      </c>
      <c r="T1112" t="s">
        <v>58</v>
      </c>
      <c r="U1112">
        <v>11888</v>
      </c>
      <c r="V1112">
        <v>2</v>
      </c>
      <c r="AC1112">
        <f t="shared" ref="AC1112:AC1117" si="165">IF(C1112=C1111, AC1111+1, 1)</f>
        <v>3</v>
      </c>
      <c r="AD1112">
        <f t="shared" ref="AD1112:AD1117" si="166">IF(T1112="Loss",AD1111+1,0)</f>
        <v>1</v>
      </c>
      <c r="AE1112">
        <f t="shared" ref="AE1112:AE1117" si="167">IF(T1112="Win", AE1111+1, 0)</f>
        <v>0</v>
      </c>
    </row>
    <row r="1113" spans="1:35" x14ac:dyDescent="0.25">
      <c r="A1113">
        <v>1112</v>
      </c>
      <c r="B1113">
        <v>2</v>
      </c>
      <c r="C1113" s="1">
        <v>46186</v>
      </c>
      <c r="D1113" s="2">
        <v>0.76458333333333328</v>
      </c>
      <c r="E1113" s="2">
        <v>0.76458333333333328</v>
      </c>
      <c r="F1113" t="s">
        <v>50</v>
      </c>
      <c r="G1113" t="s">
        <v>96</v>
      </c>
      <c r="I1113" t="s">
        <v>104</v>
      </c>
      <c r="J1113" t="s">
        <v>53</v>
      </c>
      <c r="K1113">
        <v>20</v>
      </c>
      <c r="L1113">
        <v>0</v>
      </c>
      <c r="M1113">
        <v>9</v>
      </c>
      <c r="N1113">
        <v>14</v>
      </c>
      <c r="O1113">
        <v>4</v>
      </c>
      <c r="P1113">
        <v>11</v>
      </c>
      <c r="Q1113">
        <v>3591</v>
      </c>
      <c r="R1113">
        <v>119</v>
      </c>
      <c r="S1113">
        <v>32</v>
      </c>
      <c r="T1113" t="s">
        <v>63</v>
      </c>
      <c r="U1113">
        <v>11473</v>
      </c>
      <c r="V1113">
        <v>2</v>
      </c>
      <c r="AC1113">
        <f t="shared" si="165"/>
        <v>4</v>
      </c>
      <c r="AD1113">
        <f t="shared" si="166"/>
        <v>0</v>
      </c>
      <c r="AE1113">
        <f t="shared" si="167"/>
        <v>1</v>
      </c>
    </row>
    <row r="1114" spans="1:35" x14ac:dyDescent="0.25">
      <c r="A1114">
        <v>1113</v>
      </c>
      <c r="B1114">
        <v>2</v>
      </c>
      <c r="C1114" s="1">
        <v>46186</v>
      </c>
      <c r="D1114" s="2">
        <v>0.89444444444444449</v>
      </c>
      <c r="E1114" s="2">
        <v>0.89444444444444449</v>
      </c>
      <c r="F1114" t="s">
        <v>50</v>
      </c>
      <c r="G1114" t="s">
        <v>96</v>
      </c>
      <c r="H1114" t="s">
        <v>54</v>
      </c>
      <c r="I1114" t="s">
        <v>64</v>
      </c>
      <c r="J1114" t="s">
        <v>53</v>
      </c>
      <c r="K1114">
        <v>6</v>
      </c>
      <c r="L1114">
        <v>7</v>
      </c>
      <c r="M1114">
        <v>9</v>
      </c>
      <c r="N1114">
        <v>15</v>
      </c>
      <c r="O1114">
        <v>7</v>
      </c>
      <c r="P1114">
        <v>3</v>
      </c>
      <c r="Q1114">
        <v>2758</v>
      </c>
      <c r="R1114">
        <v>119</v>
      </c>
      <c r="S1114">
        <v>28</v>
      </c>
      <c r="T1114" t="s">
        <v>63</v>
      </c>
      <c r="U1114">
        <v>11840</v>
      </c>
      <c r="V1114">
        <v>2</v>
      </c>
      <c r="AC1114">
        <f t="shared" si="165"/>
        <v>5</v>
      </c>
      <c r="AD1114">
        <f t="shared" si="166"/>
        <v>0</v>
      </c>
      <c r="AE1114">
        <f t="shared" si="167"/>
        <v>2</v>
      </c>
    </row>
    <row r="1115" spans="1:35" x14ac:dyDescent="0.25">
      <c r="A1115">
        <v>1114</v>
      </c>
      <c r="B1115">
        <v>2</v>
      </c>
      <c r="C1115" s="1">
        <v>46186</v>
      </c>
      <c r="D1115" s="2">
        <v>0.92083333333333328</v>
      </c>
      <c r="E1115" s="2">
        <v>0.92083333333333328</v>
      </c>
      <c r="F1115" t="s">
        <v>59</v>
      </c>
      <c r="G1115" t="s">
        <v>96</v>
      </c>
      <c r="H1115" t="s">
        <v>54</v>
      </c>
      <c r="I1115" t="s">
        <v>56</v>
      </c>
      <c r="J1115" t="s">
        <v>57</v>
      </c>
      <c r="K1115">
        <v>14</v>
      </c>
      <c r="L1115">
        <v>3</v>
      </c>
      <c r="M1115">
        <v>9</v>
      </c>
      <c r="N1115">
        <v>8</v>
      </c>
      <c r="O1115">
        <v>2</v>
      </c>
      <c r="P1115">
        <v>3</v>
      </c>
      <c r="Q1115">
        <v>2041</v>
      </c>
      <c r="R1115">
        <v>113</v>
      </c>
      <c r="S1115">
        <v>13</v>
      </c>
      <c r="T1115" t="s">
        <v>63</v>
      </c>
      <c r="U1115">
        <v>12208</v>
      </c>
      <c r="V1115">
        <v>2</v>
      </c>
      <c r="AA1115" t="s">
        <v>113</v>
      </c>
      <c r="AC1115">
        <f t="shared" si="165"/>
        <v>6</v>
      </c>
      <c r="AD1115">
        <f t="shared" si="166"/>
        <v>0</v>
      </c>
      <c r="AE1115">
        <f t="shared" si="167"/>
        <v>3</v>
      </c>
    </row>
    <row r="1116" spans="1:35" x14ac:dyDescent="0.25">
      <c r="A1116">
        <v>1115</v>
      </c>
      <c r="B1116">
        <v>2</v>
      </c>
      <c r="C1116" s="1">
        <v>46186</v>
      </c>
      <c r="D1116" s="2">
        <v>0.94374999999999998</v>
      </c>
      <c r="E1116" s="2">
        <v>0.94374999999999998</v>
      </c>
      <c r="F1116" t="s">
        <v>50</v>
      </c>
      <c r="G1116" t="s">
        <v>96</v>
      </c>
      <c r="H1116" t="s">
        <v>54</v>
      </c>
      <c r="I1116" t="s">
        <v>52</v>
      </c>
      <c r="J1116" t="s">
        <v>53</v>
      </c>
      <c r="K1116">
        <v>2</v>
      </c>
      <c r="L1116">
        <v>2</v>
      </c>
      <c r="M1116">
        <v>6</v>
      </c>
      <c r="N1116">
        <v>16</v>
      </c>
      <c r="O1116">
        <v>4</v>
      </c>
      <c r="P1116">
        <v>9</v>
      </c>
      <c r="Q1116">
        <v>1935</v>
      </c>
      <c r="R1116">
        <v>101</v>
      </c>
      <c r="S1116">
        <v>33</v>
      </c>
      <c r="T1116" t="s">
        <v>58</v>
      </c>
      <c r="U1116">
        <v>12575</v>
      </c>
      <c r="V1116">
        <v>2</v>
      </c>
      <c r="AC1116">
        <f t="shared" si="165"/>
        <v>7</v>
      </c>
      <c r="AD1116">
        <f t="shared" si="166"/>
        <v>1</v>
      </c>
      <c r="AE1116">
        <f t="shared" si="167"/>
        <v>0</v>
      </c>
    </row>
    <row r="1117" spans="1:35" x14ac:dyDescent="0.25">
      <c r="A1117">
        <v>1116</v>
      </c>
      <c r="B1117">
        <v>2</v>
      </c>
      <c r="C1117" s="1">
        <v>46186</v>
      </c>
      <c r="D1117" s="2">
        <v>0.97083333333333333</v>
      </c>
      <c r="E1117" s="2">
        <v>0.97083333333333333</v>
      </c>
      <c r="F1117" t="s">
        <v>59</v>
      </c>
      <c r="G1117" t="s">
        <v>96</v>
      </c>
      <c r="I1117" t="s">
        <v>87</v>
      </c>
      <c r="J1117" t="s">
        <v>57</v>
      </c>
      <c r="K1117">
        <v>5</v>
      </c>
      <c r="L1117">
        <v>4</v>
      </c>
      <c r="M1117">
        <v>9</v>
      </c>
      <c r="N1117">
        <v>1</v>
      </c>
      <c r="O1117">
        <v>0</v>
      </c>
      <c r="P1117">
        <v>4</v>
      </c>
      <c r="Q1117">
        <v>1046</v>
      </c>
      <c r="R1117">
        <v>65</v>
      </c>
      <c r="S1117">
        <v>0</v>
      </c>
      <c r="T1117" t="s">
        <v>58</v>
      </c>
      <c r="U1117">
        <v>12248</v>
      </c>
      <c r="V1117">
        <v>2</v>
      </c>
      <c r="AC1117">
        <f t="shared" si="165"/>
        <v>8</v>
      </c>
      <c r="AD1117">
        <f t="shared" si="166"/>
        <v>2</v>
      </c>
      <c r="AE1117">
        <f t="shared" si="167"/>
        <v>0</v>
      </c>
    </row>
    <row r="1118" spans="1:35" x14ac:dyDescent="0.25">
      <c r="A1118">
        <v>1117</v>
      </c>
      <c r="B1118">
        <v>1</v>
      </c>
      <c r="C1118" s="1">
        <v>46188</v>
      </c>
      <c r="D1118" s="2">
        <v>0.82638888888888884</v>
      </c>
      <c r="E1118" s="2">
        <v>0.82638888888888884</v>
      </c>
      <c r="F1118" t="s">
        <v>59</v>
      </c>
      <c r="G1118" t="s">
        <v>96</v>
      </c>
      <c r="H1118" t="s">
        <v>54</v>
      </c>
      <c r="I1118" t="s">
        <v>87</v>
      </c>
      <c r="J1118" t="s">
        <v>57</v>
      </c>
      <c r="K1118">
        <v>10</v>
      </c>
      <c r="L1118">
        <v>4</v>
      </c>
      <c r="M1118">
        <v>7</v>
      </c>
      <c r="N1118">
        <v>12</v>
      </c>
      <c r="O1118">
        <v>4</v>
      </c>
      <c r="P1118">
        <v>10</v>
      </c>
      <c r="Q1118">
        <v>1855</v>
      </c>
      <c r="R1118">
        <v>77</v>
      </c>
      <c r="S1118">
        <v>18</v>
      </c>
      <c r="T1118" t="s">
        <v>58</v>
      </c>
      <c r="U1118">
        <v>16521</v>
      </c>
      <c r="V1118">
        <v>2</v>
      </c>
      <c r="AC1118">
        <f t="shared" ref="AC1118:AC1123" si="168">IF(C1118=C1117, AC1117+1, 1)</f>
        <v>1</v>
      </c>
      <c r="AD1118">
        <f t="shared" ref="AD1118:AD1123" si="169">IF(T1118="Loss",AD1117+1,0)</f>
        <v>3</v>
      </c>
      <c r="AE1118">
        <f t="shared" ref="AE1118:AE1123" si="170">IF(T1118="Win", AE1117+1, 0)</f>
        <v>0</v>
      </c>
    </row>
    <row r="1119" spans="1:35" x14ac:dyDescent="0.25">
      <c r="A1119">
        <v>1118</v>
      </c>
      <c r="B1119">
        <v>2</v>
      </c>
      <c r="C1119" s="1">
        <v>46190</v>
      </c>
      <c r="F1119" t="s">
        <v>50</v>
      </c>
      <c r="G1119" t="s">
        <v>96</v>
      </c>
      <c r="I1119" t="s">
        <v>87</v>
      </c>
      <c r="J1119" t="s">
        <v>53</v>
      </c>
      <c r="K1119">
        <v>16</v>
      </c>
      <c r="L1119">
        <v>3</v>
      </c>
      <c r="M1119">
        <v>11</v>
      </c>
      <c r="N1119">
        <v>8</v>
      </c>
      <c r="O1119">
        <v>4</v>
      </c>
      <c r="P1119">
        <v>10</v>
      </c>
      <c r="R1119">
        <v>87</v>
      </c>
      <c r="S1119">
        <v>37</v>
      </c>
      <c r="T1119" t="s">
        <v>58</v>
      </c>
      <c r="U1119">
        <v>11898</v>
      </c>
      <c r="V1119">
        <v>2</v>
      </c>
      <c r="AC1119">
        <f t="shared" si="168"/>
        <v>1</v>
      </c>
      <c r="AD1119">
        <f t="shared" si="169"/>
        <v>4</v>
      </c>
      <c r="AE1119">
        <f t="shared" si="170"/>
        <v>0</v>
      </c>
    </row>
    <row r="1120" spans="1:35" x14ac:dyDescent="0.25">
      <c r="A1120">
        <v>1119</v>
      </c>
      <c r="B1120">
        <v>2</v>
      </c>
      <c r="C1120" s="1">
        <v>46190</v>
      </c>
      <c r="D1120" s="2">
        <v>0.8256944444444444</v>
      </c>
      <c r="E1120" s="2">
        <v>0.8256944444444444</v>
      </c>
      <c r="F1120" t="s">
        <v>50</v>
      </c>
      <c r="G1120" t="s">
        <v>96</v>
      </c>
      <c r="H1120" t="s">
        <v>60</v>
      </c>
      <c r="I1120" t="s">
        <v>87</v>
      </c>
      <c r="J1120" t="s">
        <v>53</v>
      </c>
      <c r="K1120">
        <v>2</v>
      </c>
      <c r="L1120">
        <v>1</v>
      </c>
      <c r="M1120">
        <v>4</v>
      </c>
      <c r="N1120">
        <v>7</v>
      </c>
      <c r="O1120">
        <v>2</v>
      </c>
      <c r="P1120">
        <v>10</v>
      </c>
      <c r="Q1120">
        <v>1318</v>
      </c>
      <c r="R1120">
        <v>77</v>
      </c>
      <c r="S1120">
        <v>33</v>
      </c>
      <c r="T1120" t="s">
        <v>58</v>
      </c>
      <c r="U1120">
        <v>11538</v>
      </c>
      <c r="V1120">
        <v>2</v>
      </c>
      <c r="AC1120">
        <f t="shared" si="168"/>
        <v>2</v>
      </c>
      <c r="AD1120">
        <f t="shared" si="169"/>
        <v>5</v>
      </c>
      <c r="AE1120">
        <f t="shared" si="170"/>
        <v>0</v>
      </c>
    </row>
    <row r="1121" spans="1:35" x14ac:dyDescent="0.25">
      <c r="A1121">
        <v>1120</v>
      </c>
      <c r="B1121">
        <v>1</v>
      </c>
      <c r="C1121" s="1">
        <v>46193</v>
      </c>
      <c r="D1121" s="2">
        <v>0.9</v>
      </c>
      <c r="E1121" s="2">
        <v>0.9</v>
      </c>
      <c r="F1121" t="s">
        <v>50</v>
      </c>
      <c r="G1121" t="s">
        <v>96</v>
      </c>
      <c r="H1121" t="s">
        <v>54</v>
      </c>
      <c r="I1121" t="s">
        <v>87</v>
      </c>
      <c r="J1121" t="s">
        <v>53</v>
      </c>
      <c r="R1121">
        <v>69</v>
      </c>
      <c r="S1121">
        <v>40</v>
      </c>
      <c r="T1121" t="s">
        <v>58</v>
      </c>
      <c r="U1121">
        <v>16403</v>
      </c>
      <c r="V1121">
        <v>5</v>
      </c>
      <c r="AC1121">
        <f t="shared" si="168"/>
        <v>1</v>
      </c>
      <c r="AD1121">
        <f t="shared" si="169"/>
        <v>6</v>
      </c>
      <c r="AE1121">
        <f t="shared" si="170"/>
        <v>0</v>
      </c>
    </row>
    <row r="1122" spans="1:35" x14ac:dyDescent="0.25">
      <c r="A1122">
        <v>1121</v>
      </c>
      <c r="B1122">
        <v>1</v>
      </c>
      <c r="C1122" s="1">
        <v>46193</v>
      </c>
      <c r="D1122" s="2">
        <v>0.92222222222222228</v>
      </c>
      <c r="E1122" s="2">
        <v>0.92222222222222228</v>
      </c>
      <c r="F1122" t="s">
        <v>59</v>
      </c>
      <c r="G1122" t="s">
        <v>96</v>
      </c>
      <c r="H1122" t="s">
        <v>51</v>
      </c>
      <c r="I1122" t="s">
        <v>61</v>
      </c>
      <c r="J1122" t="s">
        <v>57</v>
      </c>
      <c r="K1122">
        <v>1</v>
      </c>
      <c r="L1122">
        <v>0</v>
      </c>
      <c r="M1122">
        <v>12</v>
      </c>
      <c r="N1122">
        <v>0</v>
      </c>
      <c r="O1122">
        <v>0</v>
      </c>
      <c r="P1122">
        <v>1</v>
      </c>
      <c r="Q1122">
        <v>338</v>
      </c>
      <c r="R1122">
        <v>26</v>
      </c>
      <c r="S1122">
        <v>100</v>
      </c>
      <c r="T1122" t="s">
        <v>58</v>
      </c>
      <c r="U1122">
        <v>16300</v>
      </c>
      <c r="V1122">
        <v>5</v>
      </c>
      <c r="AC1122">
        <f t="shared" si="168"/>
        <v>2</v>
      </c>
      <c r="AD1122">
        <f t="shared" si="169"/>
        <v>7</v>
      </c>
      <c r="AE1122">
        <f t="shared" si="170"/>
        <v>0</v>
      </c>
      <c r="AF1122">
        <v>-14.37</v>
      </c>
    </row>
    <row r="1123" spans="1:35" x14ac:dyDescent="0.25">
      <c r="A1123">
        <v>1122</v>
      </c>
      <c r="B1123">
        <v>1</v>
      </c>
      <c r="C1123" s="1">
        <v>46193</v>
      </c>
      <c r="D1123" s="2">
        <v>0.94097222222222221</v>
      </c>
      <c r="E1123" s="2">
        <v>0.94097222222222221</v>
      </c>
      <c r="F1123" t="s">
        <v>50</v>
      </c>
      <c r="G1123" t="s">
        <v>96</v>
      </c>
      <c r="H1123" t="s">
        <v>54</v>
      </c>
      <c r="I1123" t="s">
        <v>55</v>
      </c>
      <c r="J1123" t="s">
        <v>53</v>
      </c>
      <c r="K1123">
        <v>1</v>
      </c>
      <c r="L1123">
        <v>3</v>
      </c>
      <c r="M1123">
        <v>9</v>
      </c>
      <c r="N1123">
        <v>3</v>
      </c>
      <c r="O1123">
        <v>11</v>
      </c>
      <c r="P1123">
        <v>6</v>
      </c>
      <c r="Q1123">
        <v>1061</v>
      </c>
      <c r="R1123">
        <v>55</v>
      </c>
      <c r="S1123">
        <v>25</v>
      </c>
      <c r="T1123" t="s">
        <v>58</v>
      </c>
      <c r="U1123">
        <v>16067</v>
      </c>
      <c r="V1123">
        <v>2</v>
      </c>
      <c r="AC1123">
        <f t="shared" si="168"/>
        <v>3</v>
      </c>
      <c r="AD1123">
        <f t="shared" si="169"/>
        <v>8</v>
      </c>
      <c r="AE1123">
        <f t="shared" si="170"/>
        <v>0</v>
      </c>
    </row>
    <row r="1124" spans="1:35" x14ac:dyDescent="0.25">
      <c r="A1124">
        <v>1123</v>
      </c>
      <c r="B1124">
        <v>1</v>
      </c>
      <c r="C1124" s="1">
        <v>46194</v>
      </c>
      <c r="D1124" s="2">
        <v>0.78194444444444444</v>
      </c>
      <c r="E1124" s="2">
        <v>0.78194444444444444</v>
      </c>
      <c r="F1124" t="s">
        <v>50</v>
      </c>
      <c r="G1124" t="s">
        <v>97</v>
      </c>
      <c r="H1124" t="s">
        <v>54</v>
      </c>
      <c r="I1124" t="s">
        <v>64</v>
      </c>
      <c r="J1124" t="s">
        <v>53</v>
      </c>
      <c r="K1124">
        <v>5</v>
      </c>
      <c r="L1124">
        <v>3</v>
      </c>
      <c r="M1124">
        <v>11</v>
      </c>
      <c r="N1124">
        <v>7</v>
      </c>
      <c r="O1124">
        <v>1</v>
      </c>
      <c r="P1124">
        <v>8</v>
      </c>
      <c r="Q1124">
        <v>1561</v>
      </c>
      <c r="R1124">
        <v>55</v>
      </c>
      <c r="S1124">
        <v>33</v>
      </c>
      <c r="T1124" t="s">
        <v>63</v>
      </c>
      <c r="U1124">
        <v>15726</v>
      </c>
      <c r="V1124">
        <v>2</v>
      </c>
      <c r="AC1124">
        <f t="shared" ref="AC1124:AC1129" si="171">IF(C1124=C1123, AC1123+1, 1)</f>
        <v>1</v>
      </c>
      <c r="AD1124">
        <f t="shared" ref="AD1124:AD1129" si="172">IF(T1124="Loss",AD1123+1,0)</f>
        <v>0</v>
      </c>
      <c r="AE1124">
        <f t="shared" ref="AE1124:AE1129" si="173">IF(T1124="Win", AE1123+1, 0)</f>
        <v>1</v>
      </c>
      <c r="AF1124">
        <v>-1.48</v>
      </c>
      <c r="AG1124">
        <v>28</v>
      </c>
      <c r="AH1124">
        <v>56</v>
      </c>
      <c r="AI1124">
        <v>60</v>
      </c>
    </row>
    <row r="1125" spans="1:35" x14ac:dyDescent="0.25">
      <c r="A1125">
        <v>1124</v>
      </c>
      <c r="B1125">
        <v>1</v>
      </c>
      <c r="C1125" s="1">
        <v>46198</v>
      </c>
      <c r="D1125" s="2">
        <v>0.79236111111111107</v>
      </c>
      <c r="E1125" s="2">
        <v>0.79236111111111107</v>
      </c>
      <c r="F1125" t="s">
        <v>50</v>
      </c>
      <c r="G1125" t="s">
        <v>96</v>
      </c>
      <c r="H1125" t="s">
        <v>60</v>
      </c>
      <c r="I1125" t="s">
        <v>56</v>
      </c>
      <c r="J1125" t="s">
        <v>53</v>
      </c>
      <c r="K1125">
        <v>6</v>
      </c>
      <c r="L1125">
        <v>2</v>
      </c>
      <c r="M1125">
        <v>10</v>
      </c>
      <c r="N1125">
        <v>7</v>
      </c>
      <c r="O1125">
        <v>5</v>
      </c>
      <c r="P1125">
        <v>7</v>
      </c>
      <c r="Q1125">
        <v>1640</v>
      </c>
      <c r="R1125">
        <v>71</v>
      </c>
      <c r="T1125" t="s">
        <v>58</v>
      </c>
      <c r="U1125">
        <v>16078</v>
      </c>
      <c r="V1125">
        <v>5</v>
      </c>
      <c r="AC1125">
        <f t="shared" si="171"/>
        <v>1</v>
      </c>
      <c r="AD1125">
        <f t="shared" si="172"/>
        <v>1</v>
      </c>
      <c r="AE1125">
        <f t="shared" si="173"/>
        <v>0</v>
      </c>
      <c r="AF1125">
        <v>-5.98</v>
      </c>
      <c r="AG1125">
        <v>53</v>
      </c>
      <c r="AH1125">
        <v>43</v>
      </c>
      <c r="AI1125">
        <v>68</v>
      </c>
    </row>
    <row r="1126" spans="1:35" x14ac:dyDescent="0.25">
      <c r="A1126">
        <v>1125</v>
      </c>
      <c r="B1126">
        <v>1</v>
      </c>
      <c r="C1126" s="1">
        <v>46198</v>
      </c>
      <c r="D1126" s="2">
        <v>0.82499999999999996</v>
      </c>
      <c r="E1126" s="2">
        <v>0.82499999999999996</v>
      </c>
      <c r="F1126" t="s">
        <v>50</v>
      </c>
      <c r="G1126" t="s">
        <v>96</v>
      </c>
      <c r="H1126" t="s">
        <v>60</v>
      </c>
      <c r="I1126" t="s">
        <v>55</v>
      </c>
      <c r="J1126" t="s">
        <v>57</v>
      </c>
      <c r="T1126" t="s">
        <v>63</v>
      </c>
      <c r="U1126">
        <v>15769</v>
      </c>
      <c r="V1126">
        <v>5</v>
      </c>
      <c r="AC1126">
        <f t="shared" si="171"/>
        <v>2</v>
      </c>
      <c r="AD1126">
        <f t="shared" si="172"/>
        <v>0</v>
      </c>
      <c r="AE1126">
        <f t="shared" si="173"/>
        <v>1</v>
      </c>
      <c r="AF1126">
        <v>-0.46</v>
      </c>
      <c r="AG1126">
        <v>27</v>
      </c>
      <c r="AH1126">
        <v>77</v>
      </c>
      <c r="AI1126">
        <v>71</v>
      </c>
    </row>
    <row r="1127" spans="1:35" x14ac:dyDescent="0.25">
      <c r="A1127">
        <v>1126</v>
      </c>
      <c r="B1127">
        <v>1</v>
      </c>
      <c r="C1127" s="1">
        <v>46198</v>
      </c>
      <c r="D1127" s="2">
        <v>0.88263888888888886</v>
      </c>
      <c r="E1127" s="2">
        <v>0.88263888888888886</v>
      </c>
      <c r="F1127" t="s">
        <v>59</v>
      </c>
      <c r="G1127" t="s">
        <v>96</v>
      </c>
      <c r="H1127" t="s">
        <v>60</v>
      </c>
      <c r="I1127" t="s">
        <v>61</v>
      </c>
      <c r="J1127" t="s">
        <v>57</v>
      </c>
      <c r="K1127">
        <v>5</v>
      </c>
      <c r="L1127">
        <v>1</v>
      </c>
      <c r="M1127">
        <v>11</v>
      </c>
      <c r="N1127">
        <v>1</v>
      </c>
      <c r="O1127">
        <v>0</v>
      </c>
      <c r="P1127">
        <v>5</v>
      </c>
      <c r="Q1127">
        <v>1067</v>
      </c>
      <c r="R1127">
        <v>59</v>
      </c>
      <c r="S1127">
        <v>33</v>
      </c>
      <c r="T1127" t="s">
        <v>58</v>
      </c>
      <c r="U1127">
        <v>16142</v>
      </c>
      <c r="V1127">
        <v>1</v>
      </c>
      <c r="AC1127">
        <f t="shared" si="171"/>
        <v>3</v>
      </c>
      <c r="AD1127">
        <f t="shared" si="172"/>
        <v>1</v>
      </c>
      <c r="AE1127">
        <f t="shared" si="173"/>
        <v>0</v>
      </c>
    </row>
    <row r="1128" spans="1:35" x14ac:dyDescent="0.25">
      <c r="A1128">
        <v>1127</v>
      </c>
      <c r="B1128">
        <v>1</v>
      </c>
      <c r="C1128" s="1">
        <v>46198</v>
      </c>
      <c r="D1128" s="2">
        <v>0.91388888888888886</v>
      </c>
      <c r="E1128" s="2">
        <v>0.91388888888888886</v>
      </c>
      <c r="F1128" t="s">
        <v>50</v>
      </c>
      <c r="G1128" t="s">
        <v>101</v>
      </c>
      <c r="H1128" t="s">
        <v>54</v>
      </c>
      <c r="I1128" t="s">
        <v>52</v>
      </c>
      <c r="J1128" t="s">
        <v>53</v>
      </c>
      <c r="K1128">
        <v>4</v>
      </c>
      <c r="L1128">
        <v>4</v>
      </c>
      <c r="M1128">
        <v>6</v>
      </c>
      <c r="N1128">
        <v>9</v>
      </c>
      <c r="O1128">
        <v>3</v>
      </c>
      <c r="P1128">
        <v>7</v>
      </c>
      <c r="Q1128">
        <v>1453</v>
      </c>
      <c r="R1128">
        <v>69</v>
      </c>
      <c r="T1128" t="s">
        <v>58</v>
      </c>
      <c r="U1128">
        <v>15916</v>
      </c>
      <c r="V1128">
        <v>1</v>
      </c>
      <c r="AC1128">
        <f t="shared" si="171"/>
        <v>4</v>
      </c>
      <c r="AD1128">
        <f t="shared" si="172"/>
        <v>2</v>
      </c>
      <c r="AE1128">
        <f t="shared" si="173"/>
        <v>0</v>
      </c>
    </row>
    <row r="1129" spans="1:35" x14ac:dyDescent="0.25">
      <c r="A1129">
        <v>1128</v>
      </c>
      <c r="B1129">
        <v>1</v>
      </c>
      <c r="C1129" s="1">
        <v>46200</v>
      </c>
      <c r="D1129" s="2">
        <v>0.84652777777777777</v>
      </c>
      <c r="E1129" s="2">
        <v>0.84652777777777777</v>
      </c>
      <c r="F1129" t="s">
        <v>59</v>
      </c>
      <c r="G1129" t="s">
        <v>101</v>
      </c>
      <c r="H1129" t="s">
        <v>54</v>
      </c>
      <c r="I1129" t="s">
        <v>64</v>
      </c>
      <c r="J1129" t="s">
        <v>57</v>
      </c>
      <c r="K1129">
        <v>9</v>
      </c>
      <c r="L1129">
        <v>4</v>
      </c>
      <c r="M1129">
        <v>12</v>
      </c>
      <c r="N1129">
        <v>10</v>
      </c>
      <c r="O1129">
        <v>2</v>
      </c>
      <c r="P1129">
        <v>9</v>
      </c>
      <c r="Q1129">
        <v>2015</v>
      </c>
      <c r="R1129">
        <v>67</v>
      </c>
      <c r="T1129" t="s">
        <v>65</v>
      </c>
      <c r="U1129">
        <v>15536</v>
      </c>
      <c r="V1129">
        <v>1</v>
      </c>
      <c r="AC1129">
        <f t="shared" si="171"/>
        <v>1</v>
      </c>
      <c r="AD1129">
        <f t="shared" si="172"/>
        <v>0</v>
      </c>
      <c r="AE1129">
        <f t="shared" si="173"/>
        <v>0</v>
      </c>
    </row>
    <row r="1130" spans="1:35" x14ac:dyDescent="0.25">
      <c r="A1130">
        <v>1129</v>
      </c>
      <c r="B1130">
        <v>2</v>
      </c>
      <c r="C1130" s="1">
        <v>46201</v>
      </c>
      <c r="D1130" s="2">
        <v>1.2500000000000001E-2</v>
      </c>
      <c r="E1130" s="2">
        <v>1.2500000000000001E-2</v>
      </c>
      <c r="F1130" t="s">
        <v>59</v>
      </c>
      <c r="G1130" t="s">
        <v>96</v>
      </c>
      <c r="H1130" t="s">
        <v>54</v>
      </c>
      <c r="I1130" t="s">
        <v>52</v>
      </c>
      <c r="J1130" t="s">
        <v>53</v>
      </c>
      <c r="K1130">
        <v>5</v>
      </c>
      <c r="L1130">
        <v>2</v>
      </c>
      <c r="M1130">
        <v>7</v>
      </c>
      <c r="N1130">
        <v>12</v>
      </c>
      <c r="O1130">
        <v>3</v>
      </c>
      <c r="P1130">
        <v>10</v>
      </c>
      <c r="Q1130">
        <v>1806</v>
      </c>
      <c r="R1130">
        <v>86</v>
      </c>
      <c r="S1130">
        <v>35</v>
      </c>
      <c r="T1130" t="s">
        <v>58</v>
      </c>
      <c r="U1130">
        <v>11178</v>
      </c>
      <c r="V1130">
        <v>5</v>
      </c>
      <c r="AC1130">
        <f t="shared" ref="AC1130:AC1135" si="174">IF(C1130=C1129, AC1129+1, 1)</f>
        <v>1</v>
      </c>
      <c r="AD1130">
        <f t="shared" ref="AD1130:AD1135" si="175">IF(T1130="Loss",AD1129+1,0)</f>
        <v>1</v>
      </c>
      <c r="AE1130">
        <f t="shared" ref="AE1130:AE1135" si="176">IF(T1130="Win", AE1129+1, 0)</f>
        <v>0</v>
      </c>
    </row>
    <row r="1131" spans="1:35" x14ac:dyDescent="0.25">
      <c r="A1131">
        <v>1130</v>
      </c>
      <c r="B1131">
        <v>1</v>
      </c>
      <c r="C1131" s="1">
        <v>46201</v>
      </c>
      <c r="D1131" s="2">
        <v>0.72152777777777777</v>
      </c>
      <c r="E1131" s="2">
        <v>0.72152777777777777</v>
      </c>
      <c r="F1131" t="s">
        <v>50</v>
      </c>
      <c r="G1131" t="s">
        <v>97</v>
      </c>
      <c r="H1131" t="s">
        <v>51</v>
      </c>
      <c r="I1131" t="s">
        <v>56</v>
      </c>
      <c r="J1131" t="s">
        <v>57</v>
      </c>
      <c r="K1131">
        <v>2</v>
      </c>
      <c r="L1131">
        <v>5</v>
      </c>
      <c r="M1131">
        <v>9</v>
      </c>
      <c r="N1131">
        <v>11</v>
      </c>
      <c r="O1131">
        <v>4</v>
      </c>
      <c r="P1131">
        <v>5</v>
      </c>
      <c r="Q1131">
        <v>1515</v>
      </c>
      <c r="R1131">
        <v>72</v>
      </c>
      <c r="S1131">
        <v>23</v>
      </c>
      <c r="T1131" t="s">
        <v>63</v>
      </c>
      <c r="U1131">
        <v>15474</v>
      </c>
      <c r="V1131">
        <v>1</v>
      </c>
      <c r="AC1131">
        <f t="shared" si="174"/>
        <v>2</v>
      </c>
      <c r="AD1131">
        <f t="shared" si="175"/>
        <v>0</v>
      </c>
      <c r="AE1131">
        <f t="shared" si="176"/>
        <v>1</v>
      </c>
    </row>
    <row r="1132" spans="1:35" x14ac:dyDescent="0.25">
      <c r="A1132">
        <v>1131</v>
      </c>
      <c r="B1132">
        <v>1</v>
      </c>
      <c r="C1132" s="1">
        <v>46206</v>
      </c>
      <c r="D1132" s="2">
        <v>0.76458333333333328</v>
      </c>
      <c r="E1132" s="2">
        <v>0.76458333333333328</v>
      </c>
      <c r="F1132" t="s">
        <v>118</v>
      </c>
      <c r="G1132" t="s">
        <v>97</v>
      </c>
      <c r="H1132" t="s">
        <v>54</v>
      </c>
      <c r="I1132" t="s">
        <v>56</v>
      </c>
      <c r="J1132" t="s">
        <v>57</v>
      </c>
      <c r="K1132">
        <v>10</v>
      </c>
      <c r="L1132">
        <v>3</v>
      </c>
      <c r="M1132">
        <v>12</v>
      </c>
      <c r="N1132">
        <v>12</v>
      </c>
      <c r="O1132">
        <v>0</v>
      </c>
      <c r="P1132">
        <v>9</v>
      </c>
      <c r="Q1132">
        <v>2446</v>
      </c>
      <c r="R1132">
        <v>81</v>
      </c>
      <c r="T1132" t="s">
        <v>58</v>
      </c>
      <c r="U1132">
        <v>15747</v>
      </c>
      <c r="V1132">
        <v>1</v>
      </c>
      <c r="AC1132">
        <f t="shared" si="174"/>
        <v>1</v>
      </c>
      <c r="AD1132">
        <f t="shared" si="175"/>
        <v>1</v>
      </c>
      <c r="AE1132">
        <f t="shared" si="176"/>
        <v>0</v>
      </c>
    </row>
    <row r="1133" spans="1:35" x14ac:dyDescent="0.25">
      <c r="A1133">
        <v>1132</v>
      </c>
      <c r="B1133">
        <v>1</v>
      </c>
      <c r="C1133" s="1">
        <v>46206</v>
      </c>
      <c r="D1133" s="2">
        <v>0.81805555555555554</v>
      </c>
      <c r="E1133" s="2">
        <v>0.81805555555555554</v>
      </c>
      <c r="F1133" t="s">
        <v>59</v>
      </c>
      <c r="G1133" t="s">
        <v>96</v>
      </c>
      <c r="H1133" t="s">
        <v>54</v>
      </c>
      <c r="I1133" t="s">
        <v>104</v>
      </c>
      <c r="J1133" t="s">
        <v>53</v>
      </c>
      <c r="K1133">
        <v>9</v>
      </c>
      <c r="L1133">
        <v>1</v>
      </c>
      <c r="M1133">
        <v>3</v>
      </c>
      <c r="N1133">
        <v>17</v>
      </c>
      <c r="O1133">
        <v>1</v>
      </c>
      <c r="P1133">
        <v>5</v>
      </c>
      <c r="Q1133">
        <v>1813</v>
      </c>
      <c r="R1133">
        <v>95</v>
      </c>
      <c r="S1133">
        <v>57</v>
      </c>
      <c r="T1133" t="s">
        <v>63</v>
      </c>
      <c r="U1133">
        <v>15402</v>
      </c>
      <c r="V1133">
        <v>1</v>
      </c>
      <c r="AC1133">
        <f t="shared" si="174"/>
        <v>2</v>
      </c>
      <c r="AD1133">
        <f t="shared" si="175"/>
        <v>0</v>
      </c>
      <c r="AE1133">
        <f t="shared" si="176"/>
        <v>1</v>
      </c>
      <c r="AF1133">
        <v>8.5500000000000007</v>
      </c>
      <c r="AG1133">
        <v>45</v>
      </c>
      <c r="AH1133">
        <v>92</v>
      </c>
      <c r="AI1133">
        <v>61</v>
      </c>
    </row>
    <row r="1134" spans="1:35" x14ac:dyDescent="0.25">
      <c r="A1134">
        <v>1133</v>
      </c>
      <c r="B1134">
        <v>1</v>
      </c>
      <c r="C1134" s="1">
        <v>46206</v>
      </c>
      <c r="D1134" s="2">
        <v>0.84791666666666665</v>
      </c>
      <c r="E1134" s="2">
        <v>0.84791666666666665</v>
      </c>
      <c r="F1134" t="s">
        <v>59</v>
      </c>
      <c r="G1134" t="s">
        <v>96</v>
      </c>
      <c r="H1134" t="s">
        <v>51</v>
      </c>
      <c r="I1134" t="s">
        <v>56</v>
      </c>
      <c r="J1134" t="s">
        <v>57</v>
      </c>
      <c r="K1134">
        <v>9</v>
      </c>
      <c r="L1134">
        <v>5</v>
      </c>
      <c r="M1134">
        <v>14</v>
      </c>
      <c r="N1134">
        <v>12</v>
      </c>
      <c r="O1134">
        <v>3</v>
      </c>
      <c r="P1134">
        <v>9</v>
      </c>
      <c r="Q1134">
        <v>2319</v>
      </c>
      <c r="R1134">
        <v>77</v>
      </c>
      <c r="T1134" t="s">
        <v>63</v>
      </c>
      <c r="U1134">
        <v>15611</v>
      </c>
      <c r="V1134">
        <v>1</v>
      </c>
      <c r="AC1134">
        <f t="shared" si="174"/>
        <v>3</v>
      </c>
      <c r="AD1134">
        <f t="shared" si="175"/>
        <v>0</v>
      </c>
      <c r="AE1134">
        <f t="shared" si="176"/>
        <v>2</v>
      </c>
    </row>
    <row r="1135" spans="1:35" x14ac:dyDescent="0.25">
      <c r="A1135">
        <v>1134</v>
      </c>
      <c r="B1135">
        <v>1</v>
      </c>
      <c r="C1135" s="1">
        <v>46207</v>
      </c>
      <c r="D1135" s="2">
        <v>0.78055555555555556</v>
      </c>
      <c r="E1135" s="2">
        <v>0.78055555555555556</v>
      </c>
      <c r="F1135" t="s">
        <v>50</v>
      </c>
      <c r="G1135" t="s">
        <v>96</v>
      </c>
      <c r="H1135" t="s">
        <v>51</v>
      </c>
      <c r="I1135" t="s">
        <v>104</v>
      </c>
      <c r="J1135" t="s">
        <v>53</v>
      </c>
      <c r="K1135">
        <v>4</v>
      </c>
      <c r="L1135">
        <v>3</v>
      </c>
      <c r="M1135">
        <v>3</v>
      </c>
      <c r="N1135">
        <v>14</v>
      </c>
      <c r="O1135">
        <v>3</v>
      </c>
      <c r="P1135">
        <v>4</v>
      </c>
      <c r="Q1135">
        <v>1698</v>
      </c>
      <c r="R1135">
        <v>94</v>
      </c>
      <c r="S1135">
        <v>11</v>
      </c>
      <c r="T1135" t="s">
        <v>63</v>
      </c>
      <c r="U1135">
        <v>15970</v>
      </c>
      <c r="V1135">
        <v>1</v>
      </c>
      <c r="AC1135">
        <f t="shared" si="174"/>
        <v>1</v>
      </c>
      <c r="AD1135">
        <f t="shared" si="175"/>
        <v>0</v>
      </c>
      <c r="AE1135">
        <f t="shared" si="176"/>
        <v>3</v>
      </c>
    </row>
    <row r="1136" spans="1:35" x14ac:dyDescent="0.25">
      <c r="A1136">
        <v>1135</v>
      </c>
      <c r="B1136">
        <v>1</v>
      </c>
      <c r="C1136" s="1">
        <v>46216</v>
      </c>
      <c r="D1136" s="2">
        <v>0.77222222222222225</v>
      </c>
      <c r="E1136" s="2">
        <v>0.77222222222222225</v>
      </c>
      <c r="F1136" t="s">
        <v>59</v>
      </c>
      <c r="G1136" t="s">
        <v>96</v>
      </c>
      <c r="H1136" t="s">
        <v>54</v>
      </c>
      <c r="I1136" t="s">
        <v>87</v>
      </c>
      <c r="J1136" t="s">
        <v>57</v>
      </c>
      <c r="K1136">
        <v>5</v>
      </c>
      <c r="L1136">
        <v>3</v>
      </c>
      <c r="M1136">
        <v>8</v>
      </c>
      <c r="N1136">
        <v>3</v>
      </c>
      <c r="O1136">
        <v>3</v>
      </c>
      <c r="P1136">
        <v>9</v>
      </c>
      <c r="Q1136">
        <v>1322</v>
      </c>
      <c r="R1136">
        <v>60</v>
      </c>
      <c r="S1136">
        <v>25</v>
      </c>
      <c r="T1136" t="s">
        <v>58</v>
      </c>
      <c r="U1136" t="s">
        <v>108</v>
      </c>
      <c r="V1136">
        <v>1</v>
      </c>
      <c r="AC1136">
        <f t="shared" ref="AC1136:AC1142" si="177">IF(C1136=C1135, AC1135+1, 1)</f>
        <v>1</v>
      </c>
      <c r="AD1136">
        <f t="shared" ref="AD1136:AD1142" si="178">IF(T1136="Loss",AD1135+1,0)</f>
        <v>1</v>
      </c>
      <c r="AE1136">
        <f t="shared" ref="AE1136:AE1142" si="179">IF(T1136="Win", AE1135+1, 0)</f>
        <v>0</v>
      </c>
    </row>
    <row r="1137" spans="1:35" x14ac:dyDescent="0.25">
      <c r="A1137">
        <v>1136</v>
      </c>
      <c r="B1137">
        <v>1</v>
      </c>
      <c r="C1137" s="1">
        <v>46216</v>
      </c>
      <c r="D1137" s="2">
        <v>0.80347222222222225</v>
      </c>
      <c r="E1137" s="2">
        <v>0.80347222222222225</v>
      </c>
      <c r="F1137" t="s">
        <v>59</v>
      </c>
      <c r="G1137" t="s">
        <v>96</v>
      </c>
      <c r="I1137" t="s">
        <v>52</v>
      </c>
      <c r="J1137" t="s">
        <v>57</v>
      </c>
      <c r="K1137">
        <v>6</v>
      </c>
      <c r="L1137">
        <v>3</v>
      </c>
      <c r="M1137">
        <v>8</v>
      </c>
      <c r="N1137">
        <v>6</v>
      </c>
      <c r="O1137">
        <v>4</v>
      </c>
      <c r="P1137">
        <v>8</v>
      </c>
      <c r="T1137" t="s">
        <v>58</v>
      </c>
      <c r="U1137" t="s">
        <v>108</v>
      </c>
      <c r="V1137">
        <v>1</v>
      </c>
      <c r="AC1137">
        <f t="shared" si="177"/>
        <v>2</v>
      </c>
      <c r="AD1137">
        <f t="shared" si="178"/>
        <v>2</v>
      </c>
      <c r="AE1137">
        <f t="shared" si="179"/>
        <v>0</v>
      </c>
    </row>
    <row r="1138" spans="1:35" x14ac:dyDescent="0.25">
      <c r="A1138">
        <v>1137</v>
      </c>
      <c r="B1138">
        <v>1</v>
      </c>
      <c r="C1138" s="1">
        <v>46216</v>
      </c>
      <c r="D1138" s="2">
        <v>0.8305555555555556</v>
      </c>
      <c r="E1138" s="2">
        <v>0.8305555555555556</v>
      </c>
      <c r="F1138" t="s">
        <v>50</v>
      </c>
      <c r="G1138" t="s">
        <v>96</v>
      </c>
      <c r="H1138" t="s">
        <v>60</v>
      </c>
      <c r="I1138" t="s">
        <v>52</v>
      </c>
      <c r="J1138" t="s">
        <v>53</v>
      </c>
      <c r="K1138">
        <v>5</v>
      </c>
      <c r="L1138">
        <v>4</v>
      </c>
      <c r="M1138">
        <v>7</v>
      </c>
      <c r="N1138">
        <v>8</v>
      </c>
      <c r="O1138">
        <v>5</v>
      </c>
      <c r="P1138">
        <v>9</v>
      </c>
      <c r="T1138" t="s">
        <v>63</v>
      </c>
      <c r="U1138" t="s">
        <v>108</v>
      </c>
      <c r="V1138">
        <v>5</v>
      </c>
      <c r="AC1138">
        <f t="shared" si="177"/>
        <v>3</v>
      </c>
      <c r="AD1138">
        <f t="shared" si="178"/>
        <v>0</v>
      </c>
      <c r="AE1138">
        <f t="shared" si="179"/>
        <v>1</v>
      </c>
    </row>
    <row r="1139" spans="1:35" x14ac:dyDescent="0.25">
      <c r="A1139">
        <v>1138</v>
      </c>
      <c r="B1139">
        <v>1</v>
      </c>
      <c r="C1139" s="1">
        <v>46217</v>
      </c>
      <c r="D1139" s="2">
        <v>0.79027777777777775</v>
      </c>
      <c r="E1139" s="2">
        <v>0.79027777777777775</v>
      </c>
      <c r="F1139" t="s">
        <v>59</v>
      </c>
      <c r="G1139" t="s">
        <v>96</v>
      </c>
      <c r="H1139" t="s">
        <v>54</v>
      </c>
      <c r="I1139" t="s">
        <v>64</v>
      </c>
      <c r="J1139" t="s">
        <v>57</v>
      </c>
      <c r="K1139">
        <v>4</v>
      </c>
      <c r="L1139">
        <v>7</v>
      </c>
      <c r="M1139">
        <v>11</v>
      </c>
      <c r="N1139">
        <v>4</v>
      </c>
      <c r="O1139">
        <v>0</v>
      </c>
      <c r="P1139">
        <v>7</v>
      </c>
      <c r="Q1139">
        <v>1143</v>
      </c>
      <c r="R1139">
        <v>57</v>
      </c>
      <c r="T1139" t="s">
        <v>58</v>
      </c>
      <c r="U1139" t="s">
        <v>108</v>
      </c>
      <c r="V1139">
        <v>1</v>
      </c>
      <c r="AC1139">
        <f t="shared" si="177"/>
        <v>1</v>
      </c>
      <c r="AD1139">
        <f t="shared" si="178"/>
        <v>1</v>
      </c>
      <c r="AE1139">
        <f t="shared" si="179"/>
        <v>0</v>
      </c>
    </row>
    <row r="1140" spans="1:35" x14ac:dyDescent="0.25">
      <c r="A1140">
        <v>1139</v>
      </c>
      <c r="B1140">
        <v>1</v>
      </c>
      <c r="C1140" s="1">
        <v>46217</v>
      </c>
      <c r="D1140" s="2">
        <v>0.82013888888888886</v>
      </c>
      <c r="E1140" s="2">
        <v>0.82013888888888886</v>
      </c>
      <c r="F1140" t="s">
        <v>50</v>
      </c>
      <c r="G1140" t="s">
        <v>96</v>
      </c>
      <c r="H1140" t="s">
        <v>54</v>
      </c>
      <c r="I1140" t="s">
        <v>55</v>
      </c>
      <c r="J1140" t="s">
        <v>57</v>
      </c>
      <c r="K1140">
        <v>6</v>
      </c>
      <c r="L1140">
        <v>3</v>
      </c>
      <c r="M1140">
        <v>8</v>
      </c>
      <c r="N1140">
        <v>5</v>
      </c>
      <c r="O1140">
        <v>1</v>
      </c>
      <c r="P1140">
        <v>6</v>
      </c>
      <c r="R1140">
        <v>70</v>
      </c>
      <c r="S1140">
        <v>27</v>
      </c>
      <c r="T1140" t="s">
        <v>58</v>
      </c>
      <c r="U1140" t="s">
        <v>108</v>
      </c>
      <c r="V1140">
        <v>1</v>
      </c>
      <c r="AC1140">
        <f t="shared" si="177"/>
        <v>2</v>
      </c>
      <c r="AD1140">
        <f t="shared" si="178"/>
        <v>2</v>
      </c>
      <c r="AE1140">
        <f t="shared" si="179"/>
        <v>0</v>
      </c>
    </row>
    <row r="1141" spans="1:35" x14ac:dyDescent="0.25">
      <c r="A1141">
        <v>1140</v>
      </c>
      <c r="B1141">
        <v>1</v>
      </c>
      <c r="C1141" s="1">
        <v>46218</v>
      </c>
      <c r="D1141" s="2">
        <v>0.80902777777777779</v>
      </c>
      <c r="E1141" s="2">
        <v>0.80902777777777779</v>
      </c>
      <c r="F1141" t="s">
        <v>59</v>
      </c>
      <c r="G1141" t="s">
        <v>96</v>
      </c>
      <c r="H1141" t="s">
        <v>54</v>
      </c>
      <c r="I1141" t="s">
        <v>87</v>
      </c>
      <c r="J1141" t="s">
        <v>57</v>
      </c>
      <c r="K1141">
        <v>4</v>
      </c>
      <c r="L1141">
        <v>4</v>
      </c>
      <c r="M1141">
        <v>9</v>
      </c>
      <c r="N1141">
        <v>2</v>
      </c>
      <c r="O1141">
        <v>8</v>
      </c>
      <c r="P1141">
        <v>9</v>
      </c>
      <c r="Q1141">
        <v>1559</v>
      </c>
      <c r="R1141">
        <v>64</v>
      </c>
      <c r="S1141">
        <v>33</v>
      </c>
      <c r="T1141" t="s">
        <v>63</v>
      </c>
      <c r="U1141" t="s">
        <v>108</v>
      </c>
      <c r="V1141">
        <v>1</v>
      </c>
      <c r="AC1141">
        <f t="shared" si="177"/>
        <v>1</v>
      </c>
      <c r="AD1141">
        <f t="shared" si="178"/>
        <v>0</v>
      </c>
      <c r="AE1141">
        <f t="shared" si="179"/>
        <v>1</v>
      </c>
    </row>
    <row r="1142" spans="1:35" x14ac:dyDescent="0.25">
      <c r="A1142">
        <v>1141</v>
      </c>
      <c r="B1142">
        <v>1</v>
      </c>
      <c r="C1142" s="1">
        <v>46219</v>
      </c>
      <c r="D1142" s="2">
        <v>0.74444444444444446</v>
      </c>
      <c r="E1142" s="2">
        <v>0.74444444444444446</v>
      </c>
      <c r="F1142" t="s">
        <v>59</v>
      </c>
      <c r="G1142" t="s">
        <v>101</v>
      </c>
      <c r="H1142" t="s">
        <v>60</v>
      </c>
      <c r="I1142" t="s">
        <v>55</v>
      </c>
      <c r="J1142" t="s">
        <v>53</v>
      </c>
      <c r="Q1142">
        <v>2222</v>
      </c>
      <c r="R1142">
        <v>111</v>
      </c>
      <c r="S1142">
        <v>47</v>
      </c>
      <c r="T1142" t="s">
        <v>63</v>
      </c>
      <c r="U1142" t="s">
        <v>108</v>
      </c>
      <c r="V1142">
        <v>1</v>
      </c>
      <c r="AC1142">
        <f t="shared" si="177"/>
        <v>1</v>
      </c>
      <c r="AD1142">
        <f t="shared" si="178"/>
        <v>0</v>
      </c>
      <c r="AE1142">
        <f t="shared" si="179"/>
        <v>2</v>
      </c>
    </row>
    <row r="1143" spans="1:35" x14ac:dyDescent="0.25">
      <c r="A1143">
        <v>1142</v>
      </c>
      <c r="B1143">
        <v>1</v>
      </c>
      <c r="C1143" s="1">
        <v>46220</v>
      </c>
      <c r="D1143" s="2">
        <v>0.80277777777777781</v>
      </c>
      <c r="E1143" s="2">
        <v>0.80277777777777781</v>
      </c>
      <c r="F1143" t="s">
        <v>59</v>
      </c>
      <c r="G1143" t="s">
        <v>97</v>
      </c>
      <c r="H1143" t="s">
        <v>54</v>
      </c>
      <c r="I1143" t="s">
        <v>55</v>
      </c>
      <c r="J1143" t="s">
        <v>57</v>
      </c>
      <c r="T1143" t="s">
        <v>58</v>
      </c>
      <c r="U1143" t="s">
        <v>108</v>
      </c>
      <c r="V1143">
        <v>1</v>
      </c>
      <c r="AA1143" t="s">
        <v>71</v>
      </c>
      <c r="AC1143">
        <f t="shared" ref="AC1143:AC1148" si="180">IF(C1143=C1142, AC1142+1, 1)</f>
        <v>1</v>
      </c>
      <c r="AD1143">
        <f t="shared" ref="AD1143:AD1148" si="181">IF(T1143="Loss",AD1142+1,0)</f>
        <v>1</v>
      </c>
      <c r="AE1143">
        <f t="shared" ref="AE1143:AE1148" si="182">IF(T1143="Win", AE1142+1, 0)</f>
        <v>0</v>
      </c>
    </row>
    <row r="1144" spans="1:35" x14ac:dyDescent="0.25">
      <c r="A1144">
        <v>1143</v>
      </c>
      <c r="B1144">
        <v>1</v>
      </c>
      <c r="C1144" s="1">
        <v>46220</v>
      </c>
      <c r="D1144" s="2">
        <v>0.82777777777777772</v>
      </c>
      <c r="E1144" s="2">
        <v>0.82777777777777772</v>
      </c>
      <c r="F1144" t="s">
        <v>59</v>
      </c>
      <c r="G1144" t="s">
        <v>101</v>
      </c>
      <c r="H1144" t="s">
        <v>54</v>
      </c>
      <c r="I1144" t="s">
        <v>120</v>
      </c>
      <c r="J1144" t="s">
        <v>57</v>
      </c>
      <c r="K1144">
        <v>9</v>
      </c>
      <c r="L1144">
        <v>1</v>
      </c>
      <c r="M1144">
        <v>8</v>
      </c>
      <c r="N1144">
        <v>14</v>
      </c>
      <c r="O1144">
        <v>4</v>
      </c>
      <c r="P1144">
        <v>8</v>
      </c>
      <c r="Q1144">
        <v>2108</v>
      </c>
      <c r="R1144">
        <v>87</v>
      </c>
      <c r="S1144">
        <v>21</v>
      </c>
      <c r="T1144" t="s">
        <v>63</v>
      </c>
      <c r="U1144" t="s">
        <v>108</v>
      </c>
      <c r="V1144">
        <v>1</v>
      </c>
      <c r="AC1144">
        <f t="shared" si="180"/>
        <v>2</v>
      </c>
      <c r="AD1144">
        <f t="shared" si="181"/>
        <v>0</v>
      </c>
      <c r="AE1144">
        <f t="shared" si="182"/>
        <v>1</v>
      </c>
    </row>
    <row r="1145" spans="1:35" x14ac:dyDescent="0.25">
      <c r="A1145">
        <v>1144</v>
      </c>
      <c r="B1145">
        <v>1</v>
      </c>
      <c r="C1145" s="1">
        <v>46221</v>
      </c>
      <c r="D1145" s="2">
        <v>0.82222222222222219</v>
      </c>
      <c r="E1145" s="2">
        <v>0.82222222222222219</v>
      </c>
      <c r="F1145" t="s">
        <v>50</v>
      </c>
      <c r="G1145" t="s">
        <v>97</v>
      </c>
      <c r="H1145" t="s">
        <v>54</v>
      </c>
      <c r="I1145" t="s">
        <v>87</v>
      </c>
      <c r="J1145" t="s">
        <v>53</v>
      </c>
      <c r="T1145" t="s">
        <v>63</v>
      </c>
      <c r="U1145" t="s">
        <v>108</v>
      </c>
      <c r="V1145">
        <v>1</v>
      </c>
      <c r="AC1145">
        <f t="shared" si="180"/>
        <v>1</v>
      </c>
      <c r="AD1145">
        <f t="shared" si="181"/>
        <v>0</v>
      </c>
      <c r="AE1145">
        <f t="shared" si="182"/>
        <v>2</v>
      </c>
    </row>
    <row r="1146" spans="1:35" x14ac:dyDescent="0.25">
      <c r="A1146">
        <v>1145</v>
      </c>
      <c r="B1146">
        <v>1</v>
      </c>
      <c r="C1146" s="1">
        <v>46221</v>
      </c>
      <c r="D1146" s="2">
        <v>0.84861111111111109</v>
      </c>
      <c r="E1146" s="2">
        <v>0.84861111111111109</v>
      </c>
      <c r="F1146" t="s">
        <v>59</v>
      </c>
      <c r="G1146" t="s">
        <v>96</v>
      </c>
      <c r="H1146" t="s">
        <v>54</v>
      </c>
      <c r="I1146" t="s">
        <v>55</v>
      </c>
      <c r="J1146" t="s">
        <v>57</v>
      </c>
      <c r="K1146">
        <v>9</v>
      </c>
      <c r="L1146">
        <v>2</v>
      </c>
      <c r="M1146">
        <v>8</v>
      </c>
      <c r="T1146" t="s">
        <v>58</v>
      </c>
      <c r="U1146" t="s">
        <v>108</v>
      </c>
      <c r="V1146">
        <v>1</v>
      </c>
      <c r="AC1146">
        <f t="shared" si="180"/>
        <v>2</v>
      </c>
      <c r="AD1146">
        <f t="shared" si="181"/>
        <v>1</v>
      </c>
      <c r="AE1146">
        <f t="shared" si="182"/>
        <v>0</v>
      </c>
    </row>
    <row r="1147" spans="1:35" x14ac:dyDescent="0.25">
      <c r="A1147">
        <v>1146</v>
      </c>
      <c r="B1147">
        <v>1</v>
      </c>
      <c r="C1147" s="1">
        <v>46221</v>
      </c>
      <c r="D1147" s="2">
        <v>0.89097222222222228</v>
      </c>
      <c r="E1147" s="2">
        <v>0.89097222222222228</v>
      </c>
      <c r="F1147" t="s">
        <v>50</v>
      </c>
      <c r="G1147" t="s">
        <v>101</v>
      </c>
      <c r="H1147" t="s">
        <v>54</v>
      </c>
      <c r="I1147" t="s">
        <v>104</v>
      </c>
      <c r="J1147" t="s">
        <v>53</v>
      </c>
      <c r="K1147">
        <v>1</v>
      </c>
      <c r="L1147">
        <v>0</v>
      </c>
      <c r="M1147">
        <v>5</v>
      </c>
      <c r="N1147">
        <v>8</v>
      </c>
      <c r="O1147">
        <v>1</v>
      </c>
      <c r="P1147">
        <v>9</v>
      </c>
      <c r="Q1147">
        <v>894</v>
      </c>
      <c r="R1147">
        <v>52</v>
      </c>
      <c r="S1147">
        <v>44</v>
      </c>
      <c r="T1147" t="s">
        <v>58</v>
      </c>
      <c r="U1147" t="s">
        <v>108</v>
      </c>
      <c r="V1147">
        <v>1</v>
      </c>
      <c r="AC1147">
        <f t="shared" si="180"/>
        <v>3</v>
      </c>
      <c r="AD1147">
        <f t="shared" si="181"/>
        <v>2</v>
      </c>
      <c r="AE1147">
        <f t="shared" si="182"/>
        <v>0</v>
      </c>
    </row>
    <row r="1148" spans="1:35" x14ac:dyDescent="0.25">
      <c r="A1148">
        <v>1147</v>
      </c>
      <c r="B1148">
        <v>1</v>
      </c>
      <c r="C1148" s="1">
        <v>46283</v>
      </c>
      <c r="D1148" s="2">
        <v>0.92083333333333328</v>
      </c>
      <c r="E1148" s="2">
        <v>0.92083333333333328</v>
      </c>
      <c r="F1148" t="s">
        <v>50</v>
      </c>
      <c r="G1148" t="s">
        <v>97</v>
      </c>
      <c r="H1148" t="s">
        <v>54</v>
      </c>
      <c r="I1148" t="s">
        <v>87</v>
      </c>
      <c r="J1148" t="s">
        <v>53</v>
      </c>
      <c r="K1148">
        <v>3</v>
      </c>
      <c r="L1148">
        <v>5</v>
      </c>
      <c r="M1148">
        <v>5</v>
      </c>
      <c r="N1148">
        <v>11</v>
      </c>
      <c r="O1148">
        <v>1</v>
      </c>
      <c r="P1148">
        <v>6</v>
      </c>
      <c r="R1148">
        <v>62</v>
      </c>
      <c r="S1148">
        <v>14</v>
      </c>
      <c r="T1148" t="s">
        <v>63</v>
      </c>
      <c r="U1148" t="s">
        <v>108</v>
      </c>
      <c r="V1148">
        <v>1</v>
      </c>
      <c r="AC1148">
        <f t="shared" si="180"/>
        <v>1</v>
      </c>
      <c r="AD1148">
        <f t="shared" si="181"/>
        <v>0</v>
      </c>
      <c r="AE1148">
        <f t="shared" si="182"/>
        <v>1</v>
      </c>
    </row>
    <row r="1149" spans="1:35" x14ac:dyDescent="0.25">
      <c r="A1149">
        <v>1148</v>
      </c>
      <c r="B1149">
        <v>1</v>
      </c>
      <c r="C1149" s="1">
        <v>46284</v>
      </c>
      <c r="D1149" s="2">
        <v>0.76458333333333328</v>
      </c>
      <c r="E1149" s="2">
        <v>0.76458333333333328</v>
      </c>
      <c r="F1149" t="s">
        <v>50</v>
      </c>
      <c r="G1149" t="s">
        <v>96</v>
      </c>
      <c r="I1149" t="s">
        <v>87</v>
      </c>
      <c r="J1149" t="s">
        <v>53</v>
      </c>
      <c r="K1149">
        <v>7</v>
      </c>
      <c r="L1149">
        <v>4</v>
      </c>
      <c r="M1149">
        <v>6</v>
      </c>
      <c r="N1149">
        <v>11</v>
      </c>
      <c r="O1149">
        <v>3</v>
      </c>
      <c r="P1149">
        <v>6</v>
      </c>
      <c r="R1149">
        <v>97</v>
      </c>
      <c r="S1149">
        <v>55</v>
      </c>
      <c r="T1149" t="s">
        <v>63</v>
      </c>
      <c r="U1149" t="s">
        <v>108</v>
      </c>
      <c r="V1149">
        <v>2</v>
      </c>
      <c r="AC1149" s="5">
        <f>IF(C1149=C1148, AC1148+1, 1)</f>
        <v>1</v>
      </c>
      <c r="AD1149" s="5">
        <f>IF(T1149="Loss",AD1148+1,0)</f>
        <v>0</v>
      </c>
      <c r="AE1149" s="5">
        <f>IF(T1149="Win", AE1148+1, 0)</f>
        <v>2</v>
      </c>
      <c r="AF1149" s="5">
        <v>4.8600000000000003</v>
      </c>
      <c r="AG1149" s="5">
        <v>44</v>
      </c>
      <c r="AH1149" s="5">
        <v>69</v>
      </c>
      <c r="AI1149" s="5">
        <v>63</v>
      </c>
    </row>
    <row r="1150" spans="1:35" x14ac:dyDescent="0.25">
      <c r="A1150">
        <v>1149</v>
      </c>
      <c r="B1150">
        <v>1</v>
      </c>
      <c r="C1150" s="1">
        <v>46284</v>
      </c>
      <c r="D1150" s="2">
        <v>0.79097222222222219</v>
      </c>
      <c r="E1150" s="2">
        <v>0.79097222222222219</v>
      </c>
      <c r="F1150" t="s">
        <v>59</v>
      </c>
      <c r="G1150" t="s">
        <v>96</v>
      </c>
      <c r="I1150" t="s">
        <v>55</v>
      </c>
      <c r="J1150" t="s">
        <v>57</v>
      </c>
      <c r="Q1150">
        <v>2209</v>
      </c>
      <c r="R1150">
        <v>78</v>
      </c>
      <c r="S1150">
        <v>7</v>
      </c>
      <c r="T1150" t="s">
        <v>63</v>
      </c>
      <c r="U1150" t="s">
        <v>108</v>
      </c>
      <c r="V1150">
        <v>2</v>
      </c>
      <c r="AC1150" s="5">
        <f>IF(C1150=C1149, AC1149+1, 1)</f>
        <v>2</v>
      </c>
      <c r="AD1150" s="5">
        <f>IF(T1150="Loss",AD1149+1,0)</f>
        <v>0</v>
      </c>
      <c r="AE1150" s="5">
        <f>IF(T1150="Win", AE1149+1, 0)</f>
        <v>3</v>
      </c>
      <c r="AF1150" s="5">
        <v>4.28</v>
      </c>
      <c r="AG1150" s="5">
        <v>22</v>
      </c>
      <c r="AH1150" s="5">
        <v>53</v>
      </c>
      <c r="AI1150" s="5">
        <v>52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F27" sqref="F27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46043</v>
      </c>
      <c r="I8" t="s">
        <v>116</v>
      </c>
    </row>
    <row r="9" spans="1:9" x14ac:dyDescent="0.25">
      <c r="A9" t="s">
        <v>25</v>
      </c>
      <c r="B9" t="s">
        <v>27</v>
      </c>
      <c r="H9" s="3">
        <v>46211</v>
      </c>
      <c r="I9" t="s">
        <v>119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2026-07-19T23:53:12Z</dcterms:modified>
</cp:coreProperties>
</file>