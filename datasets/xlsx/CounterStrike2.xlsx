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2B9E05EC-A47B-4D83-9A7C-27D09AC28C75}" xr6:coauthVersionLast="47" xr6:coauthVersionMax="47" xr10:uidLastSave="{00000000-0000-0000-0000-000000000000}"/>
  <bookViews>
    <workbookView xWindow="-24120" yWindow="4020" windowWidth="24240" windowHeight="1314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039" i="1" l="1"/>
  <c r="AD1039" i="1"/>
  <c r="AE1039" i="1"/>
  <c r="AC1038" i="1"/>
  <c r="AD1038" i="1"/>
  <c r="AE1038" i="1"/>
  <c r="AC1037" i="1"/>
  <c r="AD1037" i="1"/>
  <c r="AE1037" i="1"/>
  <c r="AC1036" i="1"/>
  <c r="AD1036" i="1"/>
  <c r="AE1036" i="1"/>
  <c r="AC1035" i="1"/>
  <c r="AD1035" i="1"/>
  <c r="AE1035" i="1"/>
  <c r="AC1034" i="1"/>
  <c r="AD1034" i="1"/>
  <c r="AE1034" i="1"/>
  <c r="AC1033" i="1"/>
  <c r="AD1033" i="1"/>
  <c r="AE1033" i="1"/>
  <c r="AC1032" i="1"/>
  <c r="AD1032" i="1"/>
  <c r="AE1032" i="1"/>
  <c r="AC1031" i="1"/>
  <c r="AD1031" i="1"/>
  <c r="AE1031" i="1"/>
  <c r="AC1030" i="1"/>
  <c r="AD1030" i="1"/>
  <c r="AE1030" i="1"/>
  <c r="AC1029" i="1"/>
  <c r="AD1029" i="1"/>
  <c r="AE1029" i="1"/>
  <c r="AC1028" i="1"/>
  <c r="AD1028" i="1"/>
  <c r="AE1028" i="1"/>
  <c r="AC1027" i="1"/>
  <c r="AD1027" i="1"/>
  <c r="AE1027" i="1"/>
  <c r="AC1026" i="1"/>
  <c r="AE1026" i="1"/>
  <c r="AC1025" i="1"/>
  <c r="AD1025" i="1"/>
  <c r="AD1026" i="1" s="1"/>
  <c r="AE1025" i="1"/>
  <c r="AC1024" i="1"/>
  <c r="AD1024" i="1"/>
  <c r="AE1024" i="1"/>
  <c r="AC1023" i="1"/>
  <c r="AD1023" i="1"/>
  <c r="AE1023" i="1"/>
  <c r="AC1022" i="1"/>
  <c r="AD1022" i="1"/>
  <c r="AE1022" i="1"/>
  <c r="AC1021" i="1"/>
  <c r="AD1021" i="1"/>
  <c r="AE1021" i="1"/>
  <c r="AC1020" i="1"/>
  <c r="AD1020" i="1"/>
  <c r="AE1020" i="1"/>
  <c r="AC1019" i="1"/>
  <c r="AD1019" i="1"/>
  <c r="AE1019" i="1"/>
  <c r="AC1018" i="1"/>
  <c r="AD1018" i="1"/>
  <c r="AE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C1004" i="1"/>
  <c r="AD1004" i="1"/>
  <c r="AE1004" i="1"/>
  <c r="AC1003" i="1"/>
  <c r="AD1003" i="1"/>
  <c r="AE1003" i="1"/>
  <c r="AC1002" i="1"/>
  <c r="AD1002" i="1"/>
  <c r="AE1002" i="1"/>
  <c r="AD1001" i="1"/>
  <c r="AE1001" i="1"/>
  <c r="AC1000" i="1"/>
  <c r="AC1001" i="1" s="1"/>
  <c r="AD1000" i="1"/>
  <c r="AE1000" i="1"/>
  <c r="AC999" i="1"/>
  <c r="AD999" i="1"/>
  <c r="AE999" i="1"/>
  <c r="AC998" i="1"/>
  <c r="AD998" i="1"/>
  <c r="AE998" i="1"/>
  <c r="AC997" i="1"/>
  <c r="AD997" i="1"/>
  <c r="AE997" i="1"/>
  <c r="AC996" i="1"/>
  <c r="AD996" i="1"/>
  <c r="AE996" i="1"/>
  <c r="AC995" i="1"/>
  <c r="AD995" i="1"/>
  <c r="AE995" i="1"/>
  <c r="AC994" i="1"/>
  <c r="AD994" i="1"/>
  <c r="AE994" i="1"/>
  <c r="AC993" i="1"/>
  <c r="AD993" i="1"/>
  <c r="AE993" i="1"/>
  <c r="AC992" i="1"/>
  <c r="AD992" i="1"/>
  <c r="AE992" i="1"/>
  <c r="AC991" i="1"/>
  <c r="AD991" i="1"/>
  <c r="AE991" i="1"/>
  <c r="AC990" i="1"/>
  <c r="AD990" i="1"/>
  <c r="AE990" i="1"/>
  <c r="AC989" i="1"/>
  <c r="AD989" i="1"/>
  <c r="AE989" i="1"/>
  <c r="AC988" i="1"/>
  <c r="AD988" i="1"/>
  <c r="AE988" i="1"/>
  <c r="AC987" i="1"/>
  <c r="AD987" i="1"/>
  <c r="AE987" i="1"/>
  <c r="AC986" i="1"/>
  <c r="AD986" i="1"/>
  <c r="AE986" i="1"/>
  <c r="AC985" i="1"/>
  <c r="AD985" i="1"/>
  <c r="AE985" i="1"/>
  <c r="AC984" i="1"/>
  <c r="AD984" i="1"/>
  <c r="AE984" i="1"/>
  <c r="AC983" i="1"/>
  <c r="AD983" i="1"/>
  <c r="AE983" i="1"/>
  <c r="AC982" i="1"/>
  <c r="AD982" i="1"/>
  <c r="AE982" i="1"/>
  <c r="AC981" i="1"/>
  <c r="AD981" i="1"/>
  <c r="AE981" i="1"/>
  <c r="AC980" i="1"/>
  <c r="AD980" i="1"/>
  <c r="AE980" i="1"/>
  <c r="AC979" i="1"/>
  <c r="AD979" i="1"/>
  <c r="AE979" i="1"/>
  <c r="AC978" i="1"/>
  <c r="AD978" i="1"/>
  <c r="AE978" i="1"/>
  <c r="AC977" i="1"/>
  <c r="AD977" i="1"/>
  <c r="AE977" i="1"/>
  <c r="AC976" i="1"/>
  <c r="AD976" i="1"/>
  <c r="AE976" i="1"/>
  <c r="AC975" i="1"/>
  <c r="AD975" i="1"/>
  <c r="AE975" i="1"/>
  <c r="AC974" i="1"/>
  <c r="AD974" i="1"/>
  <c r="AC973" i="1"/>
  <c r="AD973" i="1"/>
  <c r="AE973" i="1"/>
  <c r="AE974" i="1" s="1"/>
  <c r="AD972" i="1"/>
  <c r="AE972" i="1"/>
  <c r="AC971" i="1"/>
  <c r="AC972" i="1" s="1"/>
  <c r="AD971" i="1"/>
  <c r="AE971" i="1"/>
  <c r="AD970" i="1"/>
  <c r="AE970" i="1"/>
  <c r="AC969" i="1"/>
  <c r="AC970" i="1" s="1"/>
  <c r="AD969" i="1"/>
  <c r="AE969" i="1"/>
  <c r="AC968" i="1"/>
  <c r="AD968" i="1"/>
  <c r="AE968" i="1"/>
  <c r="AC967" i="1"/>
  <c r="AD967" i="1"/>
  <c r="AE967" i="1"/>
  <c r="AC966" i="1"/>
  <c r="AD966" i="1"/>
  <c r="AE966" i="1"/>
  <c r="AC965" i="1"/>
  <c r="AD965" i="1"/>
  <c r="AE965" i="1"/>
  <c r="AC964" i="1"/>
  <c r="AD964" i="1"/>
  <c r="AE964" i="1"/>
  <c r="AC963" i="1"/>
  <c r="AD963" i="1"/>
  <c r="AE963" i="1"/>
  <c r="AC962" i="1"/>
  <c r="AD962" i="1"/>
  <c r="AE962" i="1"/>
  <c r="AC961" i="1"/>
  <c r="AD961" i="1"/>
  <c r="AE961" i="1"/>
  <c r="AC960" i="1"/>
  <c r="AD960" i="1"/>
  <c r="AE960" i="1"/>
  <c r="AC959" i="1"/>
  <c r="AD959" i="1"/>
  <c r="AE959" i="1"/>
  <c r="AC958" i="1"/>
  <c r="AD958" i="1"/>
  <c r="AE958" i="1"/>
  <c r="AC957" i="1"/>
  <c r="AD957" i="1"/>
  <c r="AE957" i="1"/>
  <c r="AC956" i="1"/>
  <c r="AD956" i="1"/>
  <c r="AE956" i="1"/>
  <c r="AC955" i="1"/>
  <c r="AD955" i="1"/>
  <c r="AE955" i="1"/>
  <c r="AC954" i="1"/>
  <c r="AD954" i="1"/>
  <c r="AE954" i="1"/>
  <c r="AC953" i="1"/>
  <c r="AD953" i="1"/>
  <c r="AE953" i="1"/>
  <c r="AC952" i="1"/>
  <c r="AD952" i="1"/>
  <c r="AE952" i="1"/>
  <c r="AC951" i="1"/>
  <c r="AD951" i="1"/>
  <c r="AE951" i="1"/>
  <c r="AC950" i="1"/>
  <c r="AD950" i="1"/>
  <c r="AE950" i="1"/>
  <c r="AC949" i="1"/>
  <c r="AD949" i="1"/>
  <c r="AE949" i="1"/>
  <c r="AC948" i="1"/>
  <c r="AD948" i="1"/>
  <c r="AE948" i="1"/>
  <c r="AC947" i="1"/>
  <c r="AD947" i="1"/>
  <c r="AE947" i="1"/>
  <c r="AC946" i="1"/>
  <c r="AD946" i="1"/>
  <c r="AE946" i="1"/>
  <c r="AC945" i="1"/>
  <c r="AD945" i="1"/>
  <c r="AE945" i="1"/>
  <c r="AC944" i="1"/>
  <c r="AD944" i="1"/>
  <c r="AE944" i="1"/>
  <c r="AC943" i="1"/>
  <c r="AD943" i="1"/>
  <c r="AE943" i="1"/>
  <c r="AC942" i="1"/>
  <c r="AD942" i="1"/>
  <c r="AE942" i="1"/>
  <c r="AC941" i="1"/>
  <c r="AD941" i="1"/>
  <c r="AE941" i="1"/>
  <c r="AC940" i="1"/>
  <c r="AD940" i="1"/>
  <c r="AE940" i="1"/>
  <c r="AC939" i="1"/>
  <c r="AD939" i="1"/>
  <c r="AE939" i="1"/>
  <c r="AC938" i="1"/>
  <c r="AD938" i="1"/>
  <c r="AE938" i="1"/>
  <c r="E937" i="1"/>
  <c r="AC937" i="1"/>
  <c r="AD937" i="1"/>
  <c r="AE937" i="1"/>
  <c r="AC934" i="1"/>
  <c r="AC935" i="1" s="1"/>
  <c r="AC936" i="1" s="1"/>
  <c r="AD934" i="1"/>
  <c r="AD935" i="1"/>
  <c r="AD936" i="1"/>
  <c r="AE934" i="1"/>
  <c r="AE935" i="1"/>
  <c r="AE936" i="1"/>
  <c r="E933" i="1"/>
  <c r="E934" i="1"/>
  <c r="E935" i="1"/>
  <c r="E936" i="1"/>
  <c r="AC933" i="1"/>
  <c r="AD933" i="1"/>
  <c r="AE933" i="1"/>
  <c r="AC930" i="1"/>
  <c r="AC931" i="1" s="1"/>
  <c r="AC932" i="1" s="1"/>
  <c r="AD930" i="1"/>
  <c r="AD931" i="1"/>
  <c r="AD932" i="1"/>
  <c r="AE930" i="1"/>
  <c r="AE931" i="1"/>
  <c r="AE932" i="1"/>
  <c r="E929" i="1"/>
  <c r="E930" i="1"/>
  <c r="E931" i="1"/>
  <c r="E932" i="1"/>
  <c r="E928" i="1"/>
  <c r="AC929" i="1"/>
  <c r="AD929" i="1"/>
  <c r="AE929" i="1"/>
  <c r="AC928" i="1"/>
  <c r="AD928" i="1"/>
  <c r="AE928" i="1"/>
  <c r="AC927" i="1"/>
  <c r="AD927" i="1"/>
  <c r="AE927" i="1"/>
  <c r="AC926" i="1"/>
  <c r="AD926" i="1"/>
  <c r="AE926" i="1"/>
  <c r="E925" i="1"/>
  <c r="AC925" i="1"/>
  <c r="AD925" i="1"/>
  <c r="AE925" i="1"/>
  <c r="E924" i="1"/>
  <c r="AC924" i="1"/>
  <c r="AD924" i="1"/>
  <c r="AE924" i="1"/>
  <c r="E923" i="1"/>
  <c r="AC923" i="1"/>
  <c r="AD923" i="1"/>
  <c r="AE923" i="1"/>
  <c r="E922" i="1"/>
  <c r="AC922" i="1"/>
  <c r="AD922" i="1"/>
  <c r="AE922" i="1"/>
  <c r="E921" i="1"/>
  <c r="AC921" i="1"/>
  <c r="AD921" i="1"/>
  <c r="AE921" i="1"/>
  <c r="E920" i="1"/>
  <c r="AC920" i="1"/>
  <c r="AD920" i="1"/>
  <c r="AE920" i="1"/>
  <c r="E919" i="1"/>
  <c r="AD919" i="1"/>
  <c r="E918" i="1"/>
  <c r="AC918" i="1"/>
  <c r="AC919" i="1" s="1"/>
  <c r="AD918" i="1"/>
  <c r="AE918" i="1"/>
  <c r="AE919" i="1" s="1"/>
  <c r="E917" i="1"/>
  <c r="AC917" i="1"/>
  <c r="AD917" i="1"/>
  <c r="E916" i="1"/>
  <c r="AC916" i="1"/>
  <c r="AD916" i="1"/>
  <c r="AE916" i="1"/>
  <c r="AE917" i="1" s="1"/>
  <c r="E915" i="1"/>
  <c r="AC915" i="1"/>
  <c r="AD915" i="1"/>
  <c r="AE915" i="1"/>
  <c r="E914" i="1"/>
  <c r="AD914" i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<sst xmlns="http://schemas.openxmlformats.org/spreadsheetml/2006/main" count="6466" uniqueCount="118">
  <si>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</si>
  <si>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</si>
  <si>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</si>
  <si>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</si>
  <si>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</si>
  <si>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</si>
  <si>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</si>
  <si>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</si>
  <si>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</si>
  <si>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</si>
  <si>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</si>
  <si>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</si>
  <si>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</si>
  <si>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</si>
  <si>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</si>
  <si>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</si>
  <si>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</si>
  <si>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</si>
  <si>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</si>
  <si>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</si>
  <si>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</si>
  <si>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</si>
  <si>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</si>
  <si>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</si>
  <si>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</si>
  <si>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</si>
  <si>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</si>
  <si>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</si>
  <si>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</si>
  <si>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</si>
  <si>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</si>
  <si>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</si>
  <si>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</si>
  <si>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</si>
  <si>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</si>
  <si>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</si>
  <si>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</si>
  <si>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</si>
  <si>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</si>
  <si>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</si>
  <si>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</si>
  <si>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</si>
  <si>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</si>
  <si>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</si>
  <si>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</si>
  <si>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</si>
  <si>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</si>
  <si>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</si>
  <si>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</si>
  <si>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</si>
  <si>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</si>
  <si>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</si>
  <si>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</si>
  <si>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</si>
  <si>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</si>
  <si>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</si>
  <si>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</si>
  <si>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</si>
  <si>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</si>
  <si>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</si>
  <si>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</si>
  <si>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</si>
  <si>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</si>
  <si>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</si>
  <si>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</si>
  <si>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</si>
  <si>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</si>
  <si>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</si>
  <si>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</si>
  <si>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</si>
  <si>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</si>
  <si>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</si>
  <si>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</si>
  <si>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</si>
  <si>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</si>
  <si>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</si>
  <si>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</si>
  <si>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</si>
  <si>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</si>
  <si>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</si>
  <si>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</si>
  <si>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</si>
  <si>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</si>
  <si>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</si>
  <si>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</si>
  <si>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</si>
  <si>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</si>
  <si>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</si>
  <si>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</si>
  <si>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</si>
  <si>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</si>
  <si>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</si>
  <si>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</si>
  <si>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</si>
  <si>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</si>
  <si>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</si>
  <si>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</si>
  <si>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</si>
  <si>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</si>
  <si>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</si>
  <si>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</si>
  <si>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</si>
  <si>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</si>
  <si>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</si>
  <si>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</si>
  <si>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</si>
  <si>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</si>
  <si>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</si>
  <si>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</si>
  <si>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</si>
  <si>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</si>
  <si>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</si>
  <si>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</si>
  <si>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</si>
  <si>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Tied</t>
  </si>
  <si>
    <t>Leetify changed how they score Utility Rating.</t>
  </si>
  <si>
    <t>Season Four. -Train +Anubis</t>
  </si>
  <si>
    <t>BC-&gt;S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</si>
</sst>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039" totalsRowShown="0">
  <autoFilter ref="A1:AI1039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039"/>
  <sheetViews>
    <sheetView tabSelected="1" topLeftCell="D1" zoomScaleNormal="100" workbookViewId="0">
      <pane ySplit="1" topLeftCell="A1025" activePane="bottomLeft" state="frozen"/>
      <selection pane="bottomLeft" activeCell="V1040" sqref="V1040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114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 t="shared" ref="AC1018:AC1023" si="120">IF(C1018=C1017, AC1017+1, 1)</f>
        <v>1</v>
      </c>
      <c r="AD1018">
        <f t="shared" ref="AD1018:AD1023" si="121">IF(T1018="Loss",AD1017+1,0)</f>
        <v>0</v>
      </c>
      <c r="AE1018">
        <f t="shared" ref="AE1018:AE1023" si="122"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 t="shared" si="120"/>
        <v>1</v>
      </c>
      <c r="AD1019">
        <f t="shared" si="121"/>
        <v>0</v>
      </c>
      <c r="AE1019">
        <f t="shared" si="122"/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 t="shared" si="120"/>
        <v>1</v>
      </c>
      <c r="AD1020">
        <f t="shared" si="121"/>
        <v>0</v>
      </c>
      <c r="AE1020">
        <f t="shared" si="122"/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 t="shared" si="120"/>
        <v>1</v>
      </c>
      <c r="AD1021">
        <f t="shared" si="121"/>
        <v>1</v>
      </c>
      <c r="AE1021">
        <f t="shared" si="122"/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 t="shared" si="120"/>
        <v>2</v>
      </c>
      <c r="AD1022">
        <f t="shared" si="121"/>
        <v>2</v>
      </c>
      <c r="AE1022">
        <f t="shared" si="122"/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>
        <f t="shared" si="120"/>
        <v>1</v>
      </c>
      <c r="AD1023">
        <f t="shared" si="121"/>
        <v>0</v>
      </c>
      <c r="AE1023">
        <f t="shared" si="122"/>
        <v>1</v>
      </c>
      <c r="AF1023">
        <v>2.87</v>
      </c>
      <c r="AG1023">
        <v>43</v>
      </c>
      <c r="AH1023">
        <v>61</v>
      </c>
      <c r="AI1023">
        <v>74</v>
      </c>
    </row>
    <row r="1024" spans="1:35" x14ac:dyDescent="0.25">
      <c r="A1024">
        <v>1023</v>
      </c>
      <c r="B1024">
        <v>2</v>
      </c>
      <c r="C1024" s="1">
        <v>46094</v>
      </c>
      <c r="D1024" s="2">
        <v>0.98750000000000004</v>
      </c>
      <c r="E1024" s="2">
        <v>0.98750000000000004</v>
      </c>
      <c r="F1024" s="2" t="s">
        <v>50</v>
      </c>
      <c r="G1024" t="s">
        <v>96</v>
      </c>
      <c r="H1024" t="s">
        <v>54</v>
      </c>
      <c r="I1024" t="s">
        <v>61</v>
      </c>
      <c r="J1024" t="s">
        <v>57</v>
      </c>
      <c r="K1024">
        <v>7</v>
      </c>
      <c r="L1024">
        <v>2</v>
      </c>
      <c r="M1024">
        <v>11</v>
      </c>
      <c r="N1024">
        <v>5</v>
      </c>
      <c r="O1024">
        <v>1</v>
      </c>
      <c r="P1024">
        <v>2</v>
      </c>
      <c r="T1024" t="s">
        <v>63</v>
      </c>
      <c r="U1024" t="s">
        <v>108</v>
      </c>
      <c r="V1024">
        <v>2</v>
      </c>
      <c r="AA1024" t="s">
        <v>117</v>
      </c>
      <c r="AC1024">
        <f t="shared" ref="AC1024:AC1029" si="123">IF(C1024=C1023, AC1023+1, 1)</f>
        <v>1</v>
      </c>
      <c r="AD1024">
        <f t="shared" ref="AD1024:AD1029" si="124">IF(T1024="Loss",AD1023+1,0)</f>
        <v>0</v>
      </c>
      <c r="AE1024">
        <f t="shared" ref="AE1024:AE1029" si="125">IF(T1024="Win", AE1023+1, 0)</f>
        <v>2</v>
      </c>
    </row>
    <row r="1025" spans="1:35" x14ac:dyDescent="0.25">
      <c r="A1025">
        <v>1024</v>
      </c>
      <c r="B1025">
        <v>2</v>
      </c>
      <c r="C1025" s="1">
        <v>46098</v>
      </c>
      <c r="D1025" s="2">
        <v>0.89861111111111114</v>
      </c>
      <c r="E1025" s="2">
        <v>0.89861111111111114</v>
      </c>
      <c r="F1025" t="s">
        <v>50</v>
      </c>
      <c r="G1025" t="s">
        <v>96</v>
      </c>
      <c r="H1025" t="s">
        <v>51</v>
      </c>
      <c r="I1025" t="s">
        <v>61</v>
      </c>
      <c r="J1025" t="s">
        <v>53</v>
      </c>
      <c r="K1025">
        <v>0</v>
      </c>
      <c r="L1025">
        <v>0</v>
      </c>
      <c r="M1025">
        <v>6</v>
      </c>
      <c r="N1025">
        <v>4</v>
      </c>
      <c r="O1025">
        <v>2</v>
      </c>
      <c r="P1025">
        <v>11</v>
      </c>
      <c r="Q1025">
        <v>761</v>
      </c>
      <c r="R1025">
        <v>42</v>
      </c>
      <c r="S1025">
        <v>0</v>
      </c>
      <c r="T1025" t="s">
        <v>58</v>
      </c>
      <c r="U1025" t="s">
        <v>108</v>
      </c>
      <c r="V1025">
        <v>2</v>
      </c>
      <c r="AC1025">
        <f t="shared" si="123"/>
        <v>1</v>
      </c>
      <c r="AD1025">
        <f t="shared" si="124"/>
        <v>1</v>
      </c>
      <c r="AE1025">
        <f t="shared" si="125"/>
        <v>0</v>
      </c>
    </row>
    <row r="1026" spans="1:35" x14ac:dyDescent="0.25">
      <c r="A1026">
        <v>1025</v>
      </c>
      <c r="B1026">
        <v>2</v>
      </c>
      <c r="C1026" s="1">
        <v>46098</v>
      </c>
      <c r="D1026" s="2">
        <v>0.91666666666666663</v>
      </c>
      <c r="E1026" s="2">
        <v>0.91666666666666663</v>
      </c>
      <c r="F1026" t="s">
        <v>59</v>
      </c>
      <c r="G1026" t="s">
        <v>96</v>
      </c>
      <c r="I1026" t="s">
        <v>64</v>
      </c>
      <c r="J1026" t="s">
        <v>57</v>
      </c>
      <c r="K1026">
        <v>7</v>
      </c>
      <c r="L1026">
        <v>2</v>
      </c>
      <c r="M1026">
        <v>12</v>
      </c>
      <c r="N1026">
        <v>1</v>
      </c>
      <c r="O1026">
        <v>5</v>
      </c>
      <c r="P1026">
        <v>7</v>
      </c>
      <c r="Q1026">
        <v>1179</v>
      </c>
      <c r="R1026">
        <v>65</v>
      </c>
      <c r="S1026">
        <v>62</v>
      </c>
      <c r="T1026" t="s">
        <v>58</v>
      </c>
      <c r="U1026" t="s">
        <v>108</v>
      </c>
      <c r="V1026">
        <v>2</v>
      </c>
      <c r="AC1026">
        <f t="shared" si="123"/>
        <v>2</v>
      </c>
      <c r="AD1026">
        <f t="shared" si="124"/>
        <v>2</v>
      </c>
      <c r="AE1026">
        <f t="shared" si="125"/>
        <v>0</v>
      </c>
    </row>
    <row r="1027" spans="1:35" x14ac:dyDescent="0.25">
      <c r="A1027">
        <v>1026</v>
      </c>
      <c r="B1027">
        <v>2</v>
      </c>
      <c r="C1027" s="1">
        <v>46098</v>
      </c>
      <c r="D1027" s="2">
        <v>0.93611111111111112</v>
      </c>
      <c r="E1027" s="2">
        <v>0.93611111111111112</v>
      </c>
      <c r="G1027" t="s">
        <v>96</v>
      </c>
      <c r="I1027" t="s">
        <v>87</v>
      </c>
      <c r="J1027" t="s">
        <v>53</v>
      </c>
      <c r="K1027">
        <v>8</v>
      </c>
      <c r="L1027">
        <v>7</v>
      </c>
      <c r="M1027">
        <v>9</v>
      </c>
      <c r="N1027">
        <v>12</v>
      </c>
      <c r="O1027">
        <v>0</v>
      </c>
      <c r="P1027">
        <v>8</v>
      </c>
      <c r="Q1027">
        <v>2001</v>
      </c>
      <c r="R1027">
        <v>83</v>
      </c>
      <c r="S1027">
        <v>40</v>
      </c>
      <c r="T1027" t="s">
        <v>58</v>
      </c>
      <c r="U1027" t="s">
        <v>108</v>
      </c>
      <c r="V1027">
        <v>2</v>
      </c>
      <c r="AC1027">
        <f t="shared" si="123"/>
        <v>3</v>
      </c>
      <c r="AD1027">
        <f t="shared" si="124"/>
        <v>3</v>
      </c>
      <c r="AE1027">
        <f t="shared" si="125"/>
        <v>0</v>
      </c>
    </row>
    <row r="1028" spans="1:35" x14ac:dyDescent="0.25">
      <c r="A1028">
        <v>1027</v>
      </c>
      <c r="B1028">
        <v>2</v>
      </c>
      <c r="C1028" s="1">
        <v>46101</v>
      </c>
      <c r="D1028" s="2">
        <v>0.92291666666666672</v>
      </c>
      <c r="E1028" s="2">
        <v>0.92291666666666672</v>
      </c>
      <c r="F1028" t="s">
        <v>59</v>
      </c>
      <c r="G1028" t="s">
        <v>96</v>
      </c>
      <c r="H1028" t="s">
        <v>60</v>
      </c>
      <c r="I1028" t="s">
        <v>64</v>
      </c>
      <c r="J1028" t="s">
        <v>53</v>
      </c>
      <c r="K1028">
        <v>11</v>
      </c>
      <c r="L1028">
        <v>2</v>
      </c>
      <c r="M1028">
        <v>12</v>
      </c>
      <c r="N1028">
        <v>8</v>
      </c>
      <c r="O1028">
        <v>3</v>
      </c>
      <c r="P1028">
        <v>8</v>
      </c>
      <c r="Q1028">
        <v>1835</v>
      </c>
      <c r="R1028">
        <v>76</v>
      </c>
      <c r="S1028">
        <v>21</v>
      </c>
      <c r="T1028" t="s">
        <v>63</v>
      </c>
      <c r="U1028" t="s">
        <v>108</v>
      </c>
      <c r="V1028">
        <v>2</v>
      </c>
      <c r="AC1028">
        <f t="shared" si="123"/>
        <v>1</v>
      </c>
      <c r="AD1028">
        <f t="shared" si="124"/>
        <v>0</v>
      </c>
      <c r="AE1028">
        <f t="shared" si="125"/>
        <v>1</v>
      </c>
    </row>
    <row r="1029" spans="1:35" x14ac:dyDescent="0.25">
      <c r="A1029">
        <v>1028</v>
      </c>
      <c r="B1029">
        <v>2</v>
      </c>
      <c r="C1029" s="1">
        <v>46101</v>
      </c>
      <c r="D1029" s="2">
        <v>0.96111111111111114</v>
      </c>
      <c r="E1029" s="2">
        <v>0.96111111111111114</v>
      </c>
      <c r="F1029" t="s">
        <v>59</v>
      </c>
      <c r="G1029" t="s">
        <v>96</v>
      </c>
      <c r="H1029" t="s">
        <v>51</v>
      </c>
      <c r="I1029" t="s">
        <v>52</v>
      </c>
      <c r="J1029" t="s">
        <v>57</v>
      </c>
      <c r="K1029">
        <v>12</v>
      </c>
      <c r="L1029">
        <v>1</v>
      </c>
      <c r="M1029">
        <v>10</v>
      </c>
      <c r="N1029">
        <v>10</v>
      </c>
      <c r="O1029">
        <v>5</v>
      </c>
      <c r="P1029">
        <v>4</v>
      </c>
      <c r="Q1029">
        <v>2462</v>
      </c>
      <c r="R1029">
        <v>117</v>
      </c>
      <c r="T1029" t="s">
        <v>63</v>
      </c>
      <c r="U1029" t="s">
        <v>108</v>
      </c>
      <c r="V1029">
        <v>2</v>
      </c>
      <c r="AC1029">
        <f t="shared" si="123"/>
        <v>2</v>
      </c>
      <c r="AD1029">
        <f t="shared" si="124"/>
        <v>0</v>
      </c>
      <c r="AE1029">
        <f t="shared" si="125"/>
        <v>2</v>
      </c>
    </row>
    <row r="1030" spans="1:35" x14ac:dyDescent="0.25">
      <c r="A1030">
        <v>1029</v>
      </c>
      <c r="B1030">
        <v>2</v>
      </c>
      <c r="C1030" s="1">
        <v>46102</v>
      </c>
      <c r="D1030" s="2">
        <v>0.79027777777777775</v>
      </c>
      <c r="E1030" s="2">
        <v>0.79027777777777775</v>
      </c>
      <c r="F1030" t="s">
        <v>50</v>
      </c>
      <c r="G1030" t="s">
        <v>96</v>
      </c>
      <c r="H1030" t="s">
        <v>51</v>
      </c>
      <c r="I1030" t="s">
        <v>64</v>
      </c>
      <c r="J1030" t="s">
        <v>53</v>
      </c>
      <c r="K1030">
        <v>3</v>
      </c>
      <c r="L1030">
        <v>3</v>
      </c>
      <c r="M1030">
        <v>3</v>
      </c>
      <c r="N1030">
        <v>5</v>
      </c>
      <c r="O1030">
        <v>9</v>
      </c>
      <c r="P1030">
        <v>9</v>
      </c>
      <c r="Q1030">
        <v>1317</v>
      </c>
      <c r="R1030">
        <v>82</v>
      </c>
      <c r="S1030">
        <v>25</v>
      </c>
      <c r="T1030" t="s">
        <v>63</v>
      </c>
      <c r="U1030" t="s">
        <v>108</v>
      </c>
      <c r="V1030">
        <v>2</v>
      </c>
      <c r="AC1030">
        <f t="shared" ref="AC1030:AC1035" si="126">IF(C1030=C1029, AC1029+1, 1)</f>
        <v>1</v>
      </c>
      <c r="AD1030">
        <f t="shared" ref="AD1030:AD1035" si="127">IF(T1030="Loss",AD1029+1,0)</f>
        <v>0</v>
      </c>
      <c r="AE1030">
        <f t="shared" ref="AE1030:AE1035" si="128">IF(T1030="Win", AE1029+1, 0)</f>
        <v>3</v>
      </c>
    </row>
    <row r="1031" spans="1:35" x14ac:dyDescent="0.25">
      <c r="A1031">
        <v>1030</v>
      </c>
      <c r="B1031">
        <v>2</v>
      </c>
      <c r="C1031" s="1">
        <v>46102</v>
      </c>
      <c r="D1031" s="2">
        <v>0.8881944444444444</v>
      </c>
      <c r="E1031" s="2">
        <v>0.8881944444444444</v>
      </c>
      <c r="F1031" t="s">
        <v>50</v>
      </c>
      <c r="G1031" t="s">
        <v>96</v>
      </c>
      <c r="H1031" t="s">
        <v>54</v>
      </c>
      <c r="I1031" t="s">
        <v>52</v>
      </c>
      <c r="J1031" t="s">
        <v>53</v>
      </c>
      <c r="K1031">
        <v>6</v>
      </c>
      <c r="L1031">
        <v>0</v>
      </c>
      <c r="M1031">
        <v>6</v>
      </c>
      <c r="N1031">
        <v>12</v>
      </c>
      <c r="O1031">
        <v>5</v>
      </c>
      <c r="P1031">
        <v>8</v>
      </c>
      <c r="Q1031">
        <v>1729</v>
      </c>
      <c r="R1031">
        <v>78</v>
      </c>
      <c r="S1031">
        <v>16</v>
      </c>
      <c r="T1031" t="s">
        <v>58</v>
      </c>
      <c r="U1031">
        <v>10663</v>
      </c>
      <c r="V1031">
        <v>2</v>
      </c>
      <c r="AC1031">
        <f t="shared" si="126"/>
        <v>2</v>
      </c>
      <c r="AD1031">
        <f t="shared" si="127"/>
        <v>1</v>
      </c>
      <c r="AE1031">
        <f t="shared" si="128"/>
        <v>0</v>
      </c>
    </row>
    <row r="1032" spans="1:35" x14ac:dyDescent="0.25">
      <c r="A1032">
        <v>1031</v>
      </c>
      <c r="B1032">
        <v>2</v>
      </c>
      <c r="C1032" s="1">
        <v>46102</v>
      </c>
      <c r="D1032" s="2">
        <v>0.9145833333333333</v>
      </c>
      <c r="E1032" s="2">
        <v>0.9145833333333333</v>
      </c>
      <c r="F1032" t="s">
        <v>59</v>
      </c>
      <c r="G1032" t="s">
        <v>96</v>
      </c>
      <c r="I1032" t="s">
        <v>104</v>
      </c>
      <c r="J1032" t="s">
        <v>57</v>
      </c>
      <c r="K1032">
        <v>10</v>
      </c>
      <c r="L1032">
        <v>5</v>
      </c>
      <c r="M1032">
        <v>10</v>
      </c>
      <c r="N1032">
        <v>3</v>
      </c>
      <c r="O1032">
        <v>3</v>
      </c>
      <c r="P1032">
        <v>5</v>
      </c>
      <c r="Q1032">
        <v>1866</v>
      </c>
      <c r="R1032">
        <v>109</v>
      </c>
      <c r="S1032">
        <v>53</v>
      </c>
      <c r="T1032" t="s">
        <v>58</v>
      </c>
      <c r="U1032">
        <v>10540</v>
      </c>
      <c r="V1032">
        <v>2</v>
      </c>
      <c r="AC1032">
        <f t="shared" si="126"/>
        <v>3</v>
      </c>
      <c r="AD1032">
        <f t="shared" si="127"/>
        <v>2</v>
      </c>
      <c r="AE1032">
        <f t="shared" si="128"/>
        <v>0</v>
      </c>
    </row>
    <row r="1033" spans="1:35" x14ac:dyDescent="0.25">
      <c r="A1033">
        <v>1032</v>
      </c>
      <c r="B1033">
        <v>2</v>
      </c>
      <c r="C1033" s="1">
        <v>46105</v>
      </c>
      <c r="D1033" s="2">
        <v>0.85069444444444442</v>
      </c>
      <c r="E1033" s="2">
        <v>0.85069444444444442</v>
      </c>
      <c r="F1033" t="s">
        <v>59</v>
      </c>
      <c r="G1033" t="s">
        <v>96</v>
      </c>
      <c r="H1033" t="s">
        <v>54</v>
      </c>
      <c r="I1033" t="s">
        <v>52</v>
      </c>
      <c r="J1033" t="s">
        <v>53</v>
      </c>
      <c r="K1033">
        <v>2</v>
      </c>
      <c r="L1033">
        <v>1</v>
      </c>
      <c r="M1033">
        <v>1</v>
      </c>
      <c r="N1033">
        <v>11</v>
      </c>
      <c r="O1033">
        <v>2</v>
      </c>
      <c r="P1033">
        <v>4</v>
      </c>
      <c r="Q1033">
        <v>1232</v>
      </c>
      <c r="R1033">
        <v>88</v>
      </c>
      <c r="S1033">
        <v>38</v>
      </c>
      <c r="T1033" t="s">
        <v>63</v>
      </c>
      <c r="U1033">
        <v>10430</v>
      </c>
      <c r="V1033">
        <v>2</v>
      </c>
      <c r="AC1033">
        <f t="shared" si="126"/>
        <v>1</v>
      </c>
      <c r="AD1033">
        <f t="shared" si="127"/>
        <v>0</v>
      </c>
      <c r="AE1033">
        <f t="shared" si="128"/>
        <v>1</v>
      </c>
    </row>
    <row r="1034" spans="1:35" x14ac:dyDescent="0.25">
      <c r="A1034">
        <v>1033</v>
      </c>
      <c r="B1034">
        <v>2</v>
      </c>
      <c r="C1034" s="1">
        <v>46105</v>
      </c>
      <c r="D1034" s="2">
        <v>0.86944444444444446</v>
      </c>
      <c r="E1034" s="2">
        <v>0.86944444444444446</v>
      </c>
      <c r="F1034" t="s">
        <v>59</v>
      </c>
      <c r="G1034" t="s">
        <v>96</v>
      </c>
      <c r="H1034" t="s">
        <v>60</v>
      </c>
      <c r="I1034" t="s">
        <v>64</v>
      </c>
      <c r="J1034" t="s">
        <v>57</v>
      </c>
      <c r="K1034">
        <v>8</v>
      </c>
      <c r="L1034">
        <v>3</v>
      </c>
      <c r="M1034">
        <v>10</v>
      </c>
      <c r="N1034">
        <v>12</v>
      </c>
      <c r="O1034">
        <v>1</v>
      </c>
      <c r="P1034">
        <v>8</v>
      </c>
      <c r="Q1034">
        <v>2308</v>
      </c>
      <c r="R1034">
        <v>96</v>
      </c>
      <c r="S1034">
        <v>35</v>
      </c>
      <c r="T1034" t="s">
        <v>63</v>
      </c>
      <c r="U1034">
        <v>10852</v>
      </c>
      <c r="V1034">
        <v>2</v>
      </c>
      <c r="AC1034">
        <f t="shared" si="126"/>
        <v>2</v>
      </c>
      <c r="AD1034">
        <f t="shared" si="127"/>
        <v>0</v>
      </c>
      <c r="AE1034">
        <f t="shared" si="128"/>
        <v>2</v>
      </c>
    </row>
    <row r="1035" spans="1:35" x14ac:dyDescent="0.25">
      <c r="A1035">
        <v>1034</v>
      </c>
      <c r="B1035">
        <v>2</v>
      </c>
      <c r="C1035" s="1">
        <v>46105</v>
      </c>
      <c r="D1035" s="2">
        <v>0.90138888888888891</v>
      </c>
      <c r="E1035" s="2">
        <v>0.90138888888888891</v>
      </c>
      <c r="F1035" t="s">
        <v>59</v>
      </c>
      <c r="G1035" t="s">
        <v>96</v>
      </c>
      <c r="H1035" t="s">
        <v>60</v>
      </c>
      <c r="I1035" t="s">
        <v>87</v>
      </c>
      <c r="J1035" t="s">
        <v>53</v>
      </c>
      <c r="Q1035">
        <v>3860</v>
      </c>
      <c r="R1035">
        <v>128</v>
      </c>
      <c r="S1035">
        <v>56</v>
      </c>
      <c r="T1035" t="s">
        <v>65</v>
      </c>
      <c r="U1035">
        <v>11278</v>
      </c>
      <c r="V1035">
        <v>2</v>
      </c>
      <c r="AC1035">
        <f t="shared" si="126"/>
        <v>3</v>
      </c>
      <c r="AD1035">
        <f t="shared" si="127"/>
        <v>0</v>
      </c>
      <c r="AE1035">
        <f t="shared" si="128"/>
        <v>0</v>
      </c>
    </row>
    <row r="1036" spans="1:35" x14ac:dyDescent="0.25">
      <c r="A1036">
        <v>1035</v>
      </c>
      <c r="B1036">
        <v>2</v>
      </c>
      <c r="C1036" s="1">
        <v>46107</v>
      </c>
      <c r="D1036" s="2">
        <v>0.82916666666666672</v>
      </c>
      <c r="E1036" s="2">
        <v>0.82916666666666672</v>
      </c>
      <c r="F1036" t="s">
        <v>50</v>
      </c>
      <c r="G1036" t="s">
        <v>96</v>
      </c>
      <c r="I1036" t="s">
        <v>52</v>
      </c>
      <c r="J1036" t="s">
        <v>53</v>
      </c>
      <c r="K1036">
        <v>4</v>
      </c>
      <c r="L1036">
        <v>1</v>
      </c>
      <c r="M1036">
        <v>9</v>
      </c>
      <c r="N1036">
        <v>11</v>
      </c>
      <c r="O1036">
        <v>6</v>
      </c>
      <c r="P1036">
        <v>9</v>
      </c>
      <c r="Q1036">
        <v>1753</v>
      </c>
      <c r="R1036">
        <v>79</v>
      </c>
      <c r="S1036">
        <v>33</v>
      </c>
      <c r="T1036" t="s">
        <v>58</v>
      </c>
      <c r="V1036">
        <v>2</v>
      </c>
      <c r="AC1036">
        <f>IF(C1036=C1035, AC1035+1, 1)</f>
        <v>1</v>
      </c>
      <c r="AD1036">
        <f>IF(T1036="Loss",AD1035+1,0)</f>
        <v>1</v>
      </c>
      <c r="AE1036">
        <f>IF(T1036="Win", AE1035+1, 0)</f>
        <v>0</v>
      </c>
    </row>
    <row r="1037" spans="1:35" x14ac:dyDescent="0.25">
      <c r="A1037">
        <v>1036</v>
      </c>
      <c r="B1037">
        <v>2</v>
      </c>
      <c r="C1037" s="1">
        <v>46109</v>
      </c>
      <c r="D1037" s="2">
        <v>0.8569444444444444</v>
      </c>
      <c r="E1037" s="2">
        <v>0.8569444444444444</v>
      </c>
      <c r="F1037" t="s">
        <v>59</v>
      </c>
      <c r="G1037" t="s">
        <v>96</v>
      </c>
      <c r="H1037" t="s">
        <v>54</v>
      </c>
      <c r="I1037" t="s">
        <v>87</v>
      </c>
      <c r="J1037" t="s">
        <v>57</v>
      </c>
      <c r="K1037">
        <v>11</v>
      </c>
      <c r="L1037">
        <v>2</v>
      </c>
      <c r="M1037">
        <v>9</v>
      </c>
      <c r="N1037">
        <v>10</v>
      </c>
      <c r="O1037">
        <v>3</v>
      </c>
      <c r="P1037">
        <v>9</v>
      </c>
      <c r="Q1037">
        <v>2068</v>
      </c>
      <c r="R1037">
        <v>89</v>
      </c>
      <c r="S1037">
        <v>28</v>
      </c>
      <c r="T1037" t="s">
        <v>58</v>
      </c>
      <c r="U1037">
        <v>11230</v>
      </c>
      <c r="V1037">
        <v>2</v>
      </c>
      <c r="AC1037" s="5">
        <f>IF(C1037=C1036, AC1036+1, 1)</f>
        <v>1</v>
      </c>
      <c r="AD1037" s="5">
        <f>IF(T1037="Loss",AD1036+1,0)</f>
        <v>2</v>
      </c>
      <c r="AE1037" s="5">
        <f>IF(T1037="Win", AE1036+1, 0)</f>
        <v>0</v>
      </c>
      <c r="AF1037" s="5"/>
      <c r="AG1037" s="5"/>
      <c r="AH1037" s="5"/>
      <c r="AI1037" s="5"/>
    </row>
    <row r="1038" spans="1:35" x14ac:dyDescent="0.25">
      <c r="A1038">
        <v>1037</v>
      </c>
      <c r="B1038">
        <v>2</v>
      </c>
      <c r="C1038" s="1">
        <v>46109</v>
      </c>
      <c r="D1038" s="2">
        <v>0.88402777777777775</v>
      </c>
      <c r="E1038" s="2">
        <v>0.88402777777777775</v>
      </c>
      <c r="F1038" t="s">
        <v>50</v>
      </c>
      <c r="G1038" t="s">
        <v>96</v>
      </c>
      <c r="H1038" t="s">
        <v>60</v>
      </c>
      <c r="I1038" t="s">
        <v>87</v>
      </c>
      <c r="J1038" t="s">
        <v>53</v>
      </c>
      <c r="T1038" t="s">
        <v>65</v>
      </c>
      <c r="U1038">
        <v>11124</v>
      </c>
      <c r="V1038">
        <v>2</v>
      </c>
      <c r="AC1038" s="5">
        <f>IF(C1038=C1037, AC1037+1, 1)</f>
        <v>2</v>
      </c>
      <c r="AD1038" s="5">
        <f>IF(T1038="Loss",AD1037+1,0)</f>
        <v>0</v>
      </c>
      <c r="AE1038" s="5">
        <f>IF(T1038="Win", AE1037+1, 0)</f>
        <v>0</v>
      </c>
      <c r="AF1038" s="5"/>
      <c r="AG1038" s="5"/>
      <c r="AH1038" s="5"/>
      <c r="AI1038" s="5"/>
    </row>
    <row r="1039" spans="1:35" x14ac:dyDescent="0.25">
      <c r="A1039">
        <v>1038</v>
      </c>
      <c r="B1039">
        <v>2</v>
      </c>
      <c r="C1039" s="1">
        <v>46109</v>
      </c>
      <c r="D1039" s="2">
        <v>0.92291666666666672</v>
      </c>
      <c r="E1039" s="2">
        <v>0.92291666666666672</v>
      </c>
      <c r="F1039" t="s">
        <v>59</v>
      </c>
      <c r="G1039" t="s">
        <v>96</v>
      </c>
      <c r="H1039" t="s">
        <v>54</v>
      </c>
      <c r="I1039" t="s">
        <v>64</v>
      </c>
      <c r="J1039" t="s">
        <v>57</v>
      </c>
      <c r="K1039">
        <v>13</v>
      </c>
      <c r="L1039">
        <v>2</v>
      </c>
      <c r="M1039">
        <v>11</v>
      </c>
      <c r="N1039">
        <v>7</v>
      </c>
      <c r="O1039">
        <v>1</v>
      </c>
      <c r="P1039">
        <v>5</v>
      </c>
      <c r="Q1039">
        <v>1908</v>
      </c>
      <c r="R1039">
        <v>106</v>
      </c>
      <c r="S1039">
        <v>40</v>
      </c>
      <c r="T1039" t="s">
        <v>58</v>
      </c>
      <c r="U1039">
        <v>11071</v>
      </c>
      <c r="V1039">
        <v>2</v>
      </c>
      <c r="AC1039" s="5">
        <f>IF(C1039=C1038, AC1038+1, 1)</f>
        <v>3</v>
      </c>
      <c r="AD1039" s="5">
        <f>IF(T1039="Loss",AD1038+1,0)</f>
        <v>1</v>
      </c>
      <c r="AE1039" s="5">
        <f>IF(T1039="Win", AE1038+1, 0)</f>
        <v>0</v>
      </c>
      <c r="AF1039" s="5"/>
      <c r="AG1039" s="5"/>
      <c r="AH1039" s="5"/>
      <c r="AI1039" s="5"/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H9" sqref="H9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115</v>
      </c>
    </row>
    <row r="8" spans="1:9" x14ac:dyDescent="0.25">
      <c r="A8" t="s">
        <v>23</v>
      </c>
      <c r="B8" t="s">
        <v>24</v>
      </c>
      <c r="H8" s="3">
        <v>45678</v>
      </c>
      <c r="I8" t="s">
        <v>116</v>
      </c>
    </row>
    <row r="9" spans="1:9" x14ac:dyDescent="0.25">
      <c r="A9" t="s">
        <v>25</v>
      </c>
      <c r="B9" t="s">
        <v>27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2026-03-29T02:39:53Z</dcterms:modified>
</cp:coreProperties>
</file>