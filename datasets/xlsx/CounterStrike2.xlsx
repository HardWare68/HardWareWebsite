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F5881BE9-1AF6-40CC-B48C-623B21839E1C}" xr6:coauthVersionLast="47" xr6:coauthVersionMax="47" xr10:uidLastSave="{00000000-0000-0000-0000-000000000000}"/>
  <bookViews>
    <workbookView xWindow="-24120" yWindow="-210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38" i="1" l="1"/>
  <c r="AD1138" i="1"/>
  <c r="AE1138" i="1"/>
  <c r="AC1137" i="1"/>
  <c r="AD1137" i="1"/>
  <c r="AE1137" i="1"/>
  <c r="AC1136" i="1"/>
  <c r="AD1136" i="1"/>
  <c r="AE1136" i="1"/>
  <c r="AC1135" i="1"/>
  <c r="AD1135" i="1"/>
  <c r="AE1135" i="1"/>
  <c r="AC1134" i="1"/>
  <c r="AD1134" i="1"/>
  <c r="AE1134" i="1"/>
  <c r="AC1133" i="1"/>
  <c r="AD1133" i="1"/>
  <c r="AE1133" i="1"/>
  <c r="AC1132" i="1"/>
  <c r="AD1132" i="1"/>
  <c r="AE1132" i="1"/>
  <c r="AC1131" i="1"/>
  <c r="AD1131" i="1"/>
  <c r="AE1131" i="1"/>
  <c r="AC1130" i="1"/>
  <c r="AD1130" i="1"/>
  <c r="AE1130" i="1"/>
  <c r="AC1129" i="1"/>
  <c r="AD1129" i="1"/>
  <c r="AE1129" i="1"/>
  <c r="AC1128" i="1"/>
  <c r="AD1128" i="1"/>
  <c r="AE1128" i="1"/>
  <c r="AC1127" i="1"/>
  <c r="AD1127" i="1"/>
  <c r="AE1127" i="1"/>
  <c r="AC1126" i="1"/>
  <c r="AD1126" i="1"/>
  <c r="AE1126" i="1"/>
  <c r="AC1125" i="1"/>
  <c r="AD1125" i="1"/>
  <c r="AE1125" i="1"/>
  <c r="AC1124" i="1"/>
  <c r="AD1124" i="1"/>
  <c r="AE1124" i="1"/>
  <c r="AC1123" i="1"/>
  <c r="AD1123" i="1"/>
  <c r="AE1123" i="1"/>
  <c r="AC1122" i="1"/>
  <c r="AD1122" i="1"/>
  <c r="AE1122" i="1"/>
  <c r="AC1121" i="1"/>
  <c r="AD1121" i="1"/>
  <c r="AE1121" i="1"/>
  <c r="AC1120" i="1"/>
  <c r="AD1120" i="1"/>
  <c r="AE1120" i="1"/>
  <c r="AC1119" i="1"/>
  <c r="AD1119" i="1"/>
  <c r="AE1119" i="1"/>
  <c r="AC1118" i="1"/>
  <c r="AD1118" i="1"/>
  <c r="AE1118" i="1"/>
  <c r="AC1117" i="1"/>
  <c r="AD1117" i="1"/>
  <c r="AE1117" i="1"/>
  <c r="AC1116" i="1"/>
  <c r="AD1116" i="1"/>
  <c r="AE1116" i="1"/>
  <c r="AC1115" i="1"/>
  <c r="AD1115" i="1"/>
  <c r="AE1115" i="1"/>
  <c r="AC1114" i="1"/>
  <c r="AD1114" i="1"/>
  <c r="AE1114" i="1"/>
  <c r="AC1113" i="1"/>
  <c r="AD1113" i="1"/>
  <c r="AE1113" i="1"/>
  <c r="AC1112" i="1"/>
  <c r="AD1112" i="1"/>
  <c r="AE1112" i="1"/>
  <c r="AD1107" i="1"/>
  <c r="AD1108" i="1"/>
  <c r="AD1109" i="1"/>
  <c r="AD1110" i="1"/>
  <c r="AD1111" i="1"/>
  <c r="AE1107" i="1"/>
  <c r="AE1108" i="1"/>
  <c r="AE1109" i="1"/>
  <c r="AE1110" i="1"/>
  <c r="AE1111" i="1"/>
  <c r="AC1107" i="1"/>
  <c r="AC1108" i="1"/>
  <c r="AC1109" i="1" s="1"/>
  <c r="AC1110" i="1" s="1"/>
  <c r="AC1111" i="1" s="1"/>
  <c r="AC1106" i="1"/>
  <c r="AD1106" i="1"/>
  <c r="AE1106" i="1"/>
  <c r="AC1105" i="1"/>
  <c r="AD1105" i="1"/>
  <c r="AE1105" i="1"/>
  <c r="AC1104" i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<sst xmlns="http://schemas.openxmlformats.org/spreadsheetml/2006/main" count="7051" uniqueCount="120">
  <si>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</si>
  <si>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</si>
  <si>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</si>
  <si>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</si>
  <si>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</si>
  <si>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</si>
  <si>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</si>
  <si>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</si>
  <si>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</si>
  <si>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</si>
  <si>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</si>
  <si>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</si>
  <si>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</si>
  <si>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</si>
  <si>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</si>
  <si>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</si>
  <si>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</si>
  <si>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</si>
  <si>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</si>
  <si>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</si>
  <si>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</si>
  <si>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</si>
  <si>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</si>
  <si>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</si>
  <si>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</si>
  <si>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</si>
  <si>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</si>
  <si>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</si>
  <si>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</si>
  <si>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</si>
  <si>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</si>
  <si>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</si>
  <si>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</si>
  <si>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</si>
  <si>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</si>
  <si>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</si>
  <si>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</si>
  <si>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</si>
  <si>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</si>
  <si>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</si>
  <si>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</si>
  <si>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</si>
  <si>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</si>
  <si>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</si>
  <si>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</si>
  <si>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</si>
  <si>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</si>
  <si>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</si>
  <si>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</si>
  <si>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</si>
  <si>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</si>
  <si>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</si>
  <si>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</si>
  <si>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</si>
  <si>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</si>
  <si>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</si>
  <si>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</si>
  <si>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</si>
  <si>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</si>
  <si>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</si>
  <si>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</si>
  <si>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</si>
  <si>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</si>
  <si>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</si>
  <si>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</si>
  <si>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</si>
  <si>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</si>
  <si>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</si>
  <si>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</si>
  <si>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</si>
  <si>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</si>
  <si>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</si>
  <si>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</si>
  <si>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</si>
  <si>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</si>
  <si>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</si>
  <si>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</si>
  <si>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</si>
  <si>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</si>
  <si>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</si>
  <si>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</si>
  <si>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</si>
  <si>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</si>
  <si>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</si>
  <si>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</si>
  <si>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</si>
  <si>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</si>
  <si>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</si>
  <si>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</si>
  <si>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</si>
  <si>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</si>
  <si>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</si>
  <si>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</si>
  <si>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</si>
  <si>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</si>
  <si>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</si>
  <si>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</si>
  <si>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</si>
  <si>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</si>
  <si>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</si>
  <si>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</si>
  <si>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</si>
  <si>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</si>
  <si>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</si>
  <si>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</si>
  <si>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</si>
  <si>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</si>
  <si>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</si>
  <si>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</si>
  <si>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</si>
  <si>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</si>
  <si>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</si>
  <si>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</si>
  <si>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</si>
  <si>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</si>
  <si>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</si>
  <si>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</si>
  <si>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</si>
  <si>
    <t>FIrst</t>
  </si>
  <si>
    <t>Season Five. -Overpass +Cache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</si>
</sst>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38" totalsRowShown="0">
  <autoFilter ref="A1:AI1138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38"/>
  <sheetViews>
    <sheetView tabSelected="1" zoomScaleNormal="100" workbookViewId="0">
      <pane ySplit="1" topLeftCell="A1122" activePane="bottomLeft" state="frozen"/>
      <selection pane="bottomLeft" activeCell="Q1138" sqref="Q1138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ref="AC1130:AC1135" si="174">IF(C1130=C1129, AC1129+1, 1)</f>
        <v>1</v>
      </c>
      <c r="AD1130">
        <f t="shared" ref="AD1130:AD1135" si="175">IF(T1130="Loss",AD1129+1,0)</f>
        <v>1</v>
      </c>
      <c r="AE1130">
        <f t="shared" ref="AE1130:AE1135" si="176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74"/>
        <v>2</v>
      </c>
      <c r="AD1131">
        <f t="shared" si="175"/>
        <v>0</v>
      </c>
      <c r="AE1131">
        <f t="shared" si="176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118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74"/>
        <v>1</v>
      </c>
      <c r="AD1132">
        <f t="shared" si="175"/>
        <v>1</v>
      </c>
      <c r="AE1132">
        <f t="shared" si="176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74"/>
        <v>2</v>
      </c>
      <c r="AD1133">
        <f t="shared" si="175"/>
        <v>0</v>
      </c>
      <c r="AE1133">
        <f t="shared" si="176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74"/>
        <v>3</v>
      </c>
      <c r="AD1134">
        <f t="shared" si="175"/>
        <v>0</v>
      </c>
      <c r="AE1134">
        <f t="shared" si="176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74"/>
        <v>1</v>
      </c>
      <c r="AD1135">
        <f t="shared" si="175"/>
        <v>0</v>
      </c>
      <c r="AE1135">
        <f t="shared" si="176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 s="5">
        <f>IF(C1136=C1135, AC1135+1, 1)</f>
        <v>1</v>
      </c>
      <c r="AD1136" s="5">
        <f>IF(T1136="Loss",AD1135+1,0)</f>
        <v>1</v>
      </c>
      <c r="AE1136" s="5">
        <f>IF(T1136="Win", AE1135+1, 0)</f>
        <v>0</v>
      </c>
      <c r="AF1136" s="5"/>
      <c r="AG1136" s="5"/>
      <c r="AH1136" s="5"/>
      <c r="AI1136" s="5"/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63</v>
      </c>
      <c r="U1137" t="s">
        <v>108</v>
      </c>
      <c r="V1137">
        <v>1</v>
      </c>
      <c r="AC1137" s="5">
        <f>IF(C1137=C1136, AC1136+1, 1)</f>
        <v>2</v>
      </c>
      <c r="AD1137" s="5">
        <f>IF(T1137="Loss",AD1136+1,0)</f>
        <v>0</v>
      </c>
      <c r="AE1137" s="5">
        <f>IF(T1137="Win", AE1136+1, 0)</f>
        <v>1</v>
      </c>
      <c r="AF1137" s="5"/>
      <c r="AG1137" s="5"/>
      <c r="AH1137" s="5"/>
      <c r="AI1137" s="5"/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U1138" t="s">
        <v>108</v>
      </c>
      <c r="V1138">
        <v>5</v>
      </c>
      <c r="AC1138" s="5">
        <f>IF(C1138=C1137, AC1137+1, 1)</f>
        <v>3</v>
      </c>
      <c r="AD1138" s="5">
        <f>IF(T1138="Loss",AD1137+1,0)</f>
        <v>0</v>
      </c>
      <c r="AE1138" s="5">
        <f>IF(T1138="Win", AE1137+1, 0)</f>
        <v>0</v>
      </c>
      <c r="AF1138" s="5"/>
      <c r="AG1138" s="5"/>
      <c r="AH1138" s="5"/>
      <c r="AI1138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46043</v>
      </c>
      <c r="I8" t="s">
        <v>116</v>
      </c>
    </row>
    <row r="9" spans="1:9" x14ac:dyDescent="0.25">
      <c r="A9" t="s">
        <v>25</v>
      </c>
      <c r="B9" t="s">
        <v>27</v>
      </c>
      <c r="H9" s="3">
        <v>46211</v>
      </c>
      <c r="I9" t="s">
        <v>119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2026-07-14T00:34:56Z</dcterms:modified>
</cp:coreProperties>
</file>