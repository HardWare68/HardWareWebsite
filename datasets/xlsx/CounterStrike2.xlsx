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D205A97F-770C-4183-9333-2F8731CA943E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9" i="1" l="1"/>
  <c r="AD899" i="1"/>
  <c r="AE899" i="1"/>
  <c r="E898" i="1"/>
  <c r="AC898" i="1"/>
  <c r="AC899" i="1" s="1"/>
  <c r="AD898" i="1"/>
  <c r="AE898" i="1"/>
  <c r="E895" i="1"/>
  <c r="E896" i="1"/>
  <c r="E897" i="1"/>
  <c r="AD897" i="1"/>
  <c r="AE897" i="1"/>
  <c r="AE896" i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/>
  <c r="AD851" i="1" s="1"/>
  <c r="AD852" i="1"/>
  <c r="AD853" i="1" s="1"/>
  <c r="AD854" i="1"/>
  <c r="AD855" i="1"/>
  <c r="AD856" i="1"/>
  <c r="AD857" i="1"/>
  <c r="AD858" i="1"/>
  <c r="AD859" i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/>
  <c r="AD886" i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 s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/>
  <c r="AE820" i="1"/>
  <c r="AC789" i="1"/>
  <c r="AC790" i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89" i="1"/>
  <c r="AD790" i="1"/>
  <c r="AD791" i="1" s="1"/>
  <c r="AD792" i="1" s="1"/>
  <c r="AD793" i="1" s="1"/>
  <c r="AD794" i="1"/>
  <c r="AD795" i="1"/>
  <c r="AE789" i="1"/>
  <c r="AE790" i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/>
  <c r="AD732" i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 s="1"/>
  <c r="AE719" i="1"/>
  <c r="AE720" i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/>
  <c r="AE766" i="1"/>
  <c r="AE767" i="1" s="1"/>
  <c r="AE768" i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/>
  <c r="AD680" i="1" s="1"/>
  <c r="AD681" i="1" s="1"/>
  <c r="AD682" i="1" s="1"/>
  <c r="AD683" i="1" s="1"/>
  <c r="AD684" i="1" s="1"/>
  <c r="AD685" i="1" s="1"/>
  <c r="AD686" i="1"/>
  <c r="AD687" i="1" s="1"/>
  <c r="AD688" i="1"/>
  <c r="AD689" i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/>
  <c r="AE633" i="1" s="1"/>
  <c r="AE634" i="1"/>
  <c r="AE635" i="1" s="1"/>
  <c r="AE636" i="1" s="1"/>
  <c r="AE637" i="1"/>
  <c r="AE638" i="1" s="1"/>
  <c r="AE639" i="1" s="1"/>
  <c r="AE640" i="1" s="1"/>
  <c r="AE641" i="1"/>
  <c r="AE642" i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C529" i="1"/>
  <c r="AD529" i="1"/>
  <c r="AC528" i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<sst xmlns="http://schemas.openxmlformats.org/spreadsheetml/2006/main" count="5593" uniqueCount="115">
  <si>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</si>
  <si>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</si>
  <si>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</si>
  <si>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</si>
  <si>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</si>
  <si>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</si>
  <si>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</si>
  <si>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</si>
  <si>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</si>
  <si>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</si>
  <si>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</si>
  <si>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</si>
  <si>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</si>
  <si>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</si>
  <si>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</si>
  <si>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</si>
  <si>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</si>
  <si>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</si>
  <si>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</si>
  <si>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</si>
  <si>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</si>
  <si>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</si>
  <si>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</si>
  <si>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</si>
  <si>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</si>
  <si>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</si>
  <si>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</si>
  <si>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</si>
  <si>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</si>
  <si>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</si>
  <si>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</si>
  <si>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</si>
  <si>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</si>
  <si>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</si>
  <si>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</si>
  <si>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</si>
  <si>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</si>
  <si>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</si>
  <si>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</si>
  <si>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</si>
  <si>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</si>
  <si>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</si>
  <si>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</si>
  <si>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</si>
  <si>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</si>
  <si>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</si>
  <si>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</si>
  <si>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</si>
  <si>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</si>
  <si>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</si>
  <si>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</si>
  <si>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</si>
  <si>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</si>
  <si>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</si>
  <si>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</si>
  <si>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</si>
  <si>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</si>
  <si>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</si>
  <si>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</si>
  <si>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</si>
  <si>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</si>
  <si>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</si>
  <si>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</si>
  <si>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</si>
  <si>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</si>
  <si>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</si>
  <si>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</si>
  <si>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</si>
  <si>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</si>
  <si>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</si>
  <si>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</si>
  <si>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</si>
  <si>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</si>
  <si>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</si>
  <si>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</si>
  <si>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</si>
  <si>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</si>
  <si>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</si>
  <si>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</si>
  <si>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</si>
  <si>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</si>
  <si>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</si>
  <si>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</si>
  <si>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</si>
  <si>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</si>
  <si>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</si>
  <si>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</si>
  <si>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</si>
  <si>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</si>
  <si>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</si>
  <si>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</si>
  <si>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</si>
  <si>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</si>
  <si>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</si>
  <si>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</si>
  <si>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</si>
  <si>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</si>
  <si>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</si>
  <si>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</si>
  <si>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</si>
  <si>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</si>
  <si>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</si>
  <si>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</si>
  <si>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</si>
  <si>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</si>
  <si>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</si>
  <si>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</si>
  <si>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</si>
  <si>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</si>
  <si>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</si>
  <si>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</si>
  <si>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</si>
  <si>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</si>
  <si>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</si>
  <si>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AimLabs changed how they score Utility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</si>
</sst>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899" totalsRowShown="0">
  <autoFilter ref="A1:AI899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99"/>
  <sheetViews>
    <sheetView tabSelected="1" topLeftCell="D1" zoomScaleNormal="100" workbookViewId="0">
      <pane ySplit="1" topLeftCell="A884" activePane="bottomLeft" state="frozen"/>
      <selection pane="bottomLeft" activeCell="V900" sqref="V900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8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61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62"/>
        <v>1</v>
      </c>
      <c r="AD879">
        <f t="shared" si="63"/>
        <v>1</v>
      </c>
      <c r="AE879">
        <f t="shared" si="64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61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62"/>
        <v>2</v>
      </c>
      <c r="AD880">
        <f t="shared" si="63"/>
        <v>0</v>
      </c>
      <c r="AE880">
        <f t="shared" si="64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61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62"/>
        <v>1</v>
      </c>
      <c r="AD881">
        <f t="shared" si="63"/>
        <v>1</v>
      </c>
      <c r="AE881">
        <f t="shared" si="64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61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62"/>
        <v>2</v>
      </c>
      <c r="AD882">
        <f t="shared" si="63"/>
        <v>2</v>
      </c>
      <c r="AE882">
        <f t="shared" si="64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61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62"/>
        <v>3</v>
      </c>
      <c r="AD883">
        <f t="shared" si="63"/>
        <v>3</v>
      </c>
      <c r="AE883">
        <f t="shared" si="64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61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62"/>
        <v>4</v>
      </c>
      <c r="AD884">
        <f t="shared" si="63"/>
        <v>0</v>
      </c>
      <c r="AE884">
        <f t="shared" si="64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61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5">IF(C885=C884, AC884+1, 1)</f>
        <v>1</v>
      </c>
      <c r="AD885">
        <f t="shared" ref="AD885:AD893" si="66">IF(T885="Loss",AD884+1,0)</f>
        <v>1</v>
      </c>
      <c r="AE885">
        <f t="shared" ref="AE885:AE893" si="6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61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5"/>
        <v>2</v>
      </c>
      <c r="AD886">
        <f t="shared" si="66"/>
        <v>2</v>
      </c>
      <c r="AE886">
        <f t="shared" si="6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61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5"/>
        <v>3</v>
      </c>
      <c r="AD887">
        <f t="shared" si="66"/>
        <v>0</v>
      </c>
      <c r="AE887">
        <f t="shared" si="6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61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5"/>
        <v>1</v>
      </c>
      <c r="AD888">
        <f t="shared" si="66"/>
        <v>0</v>
      </c>
      <c r="AE888">
        <f t="shared" si="6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61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5"/>
        <v>2</v>
      </c>
      <c r="AD889">
        <f t="shared" si="66"/>
        <v>1</v>
      </c>
      <c r="AE889">
        <f t="shared" si="6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61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5"/>
        <v>3</v>
      </c>
      <c r="AD890">
        <f t="shared" si="66"/>
        <v>2</v>
      </c>
      <c r="AE890">
        <f t="shared" si="6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61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5"/>
        <v>4</v>
      </c>
      <c r="AD891">
        <f t="shared" si="66"/>
        <v>3</v>
      </c>
      <c r="AE891">
        <f t="shared" si="6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61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AC892">
        <f t="shared" si="65"/>
        <v>1</v>
      </c>
      <c r="AD892">
        <f t="shared" si="66"/>
        <v>0</v>
      </c>
      <c r="AE892">
        <f t="shared" si="6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61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AC893">
        <f t="shared" si="65"/>
        <v>1</v>
      </c>
      <c r="AD893">
        <f t="shared" si="66"/>
        <v>0</v>
      </c>
      <c r="AE893">
        <f t="shared" si="6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61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AA894" t="s">
        <v>40</v>
      </c>
      <c r="AC894">
        <f>IF(C894=C893, AC893+1, 1)</f>
        <v>2</v>
      </c>
      <c r="AD894">
        <f>IF(T894="Loss",AD893+1,0)</f>
        <v>0</v>
      </c>
      <c r="AE894">
        <f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61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AC895">
        <f>IF(C895=C894, AC894+1, 1)</f>
        <v>1</v>
      </c>
      <c r="AD895">
        <f>IF(T895="Loss",AD894+1,0)</f>
        <v>1</v>
      </c>
      <c r="AE895">
        <f>IF(T895="Win", AE894+1, 0)</f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61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AC896">
        <f>IF(C896=C895, AC895+1, 1)</f>
        <v>2</v>
      </c>
      <c r="AD896">
        <f>IF(T896="Loss",AD895+1,0)</f>
        <v>2</v>
      </c>
      <c r="AE896">
        <f>IF(T896="Win", AE895+1, 0)</f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61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AC897">
        <f>IF(C897=C896, AC896+1, 1)</f>
        <v>3</v>
      </c>
      <c r="AD897">
        <f>IF(T897="Loss",AD896+1,0)</f>
        <v>0</v>
      </c>
      <c r="AE897">
        <f>IF(T897="Win", AE896+1, 0)</f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AC898" s="5">
        <f>IF(C898=C897, AC897+1, 1)</f>
        <v>1</v>
      </c>
      <c r="AD898" s="5">
        <f>IF(T898="Loss",AD897+1,0)</f>
        <v>1</v>
      </c>
      <c r="AE898" s="5">
        <f>IF(T898="Win", AE897+1, 0)</f>
        <v>0</v>
      </c>
      <c r="AF898" s="5">
        <v>-1.83</v>
      </c>
      <c r="AG898" s="5">
        <v>39</v>
      </c>
      <c r="AH898" s="5">
        <v>78</v>
      </c>
      <c r="AI898" s="5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>D899 + 1/24</f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AC899" s="5">
        <f>IF(C899=C898, AC898+1, 1)</f>
        <v>2</v>
      </c>
      <c r="AD899" s="5">
        <f>IF(T899="Loss",AD898+1,0)</f>
        <v>0</v>
      </c>
      <c r="AE899" s="5">
        <f>IF(T899="Win", AE898+1, 0)</f>
        <v>1</v>
      </c>
      <c r="AF899" s="5"/>
      <c r="AG899" s="5"/>
      <c r="AH899" s="5"/>
      <c r="AI899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8" sqref="H8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2025-11-11T02:19:14Z</dcterms:modified>
</cp:coreProperties>
</file>